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ception\Desktop\OTHER\"/>
    </mc:Choice>
  </mc:AlternateContent>
  <xr:revisionPtr revIDLastSave="0" documentId="13_ncr:1_{C1A17A64-A561-45FA-908C-26F4724A6A69}" xr6:coauthVersionLast="47" xr6:coauthVersionMax="47" xr10:uidLastSave="{00000000-0000-0000-0000-000000000000}"/>
  <bookViews>
    <workbookView xWindow="28680" yWindow="-165" windowWidth="29040" windowHeight="15720" xr2:uid="{00000000-000D-0000-FFFF-FFFF00000000}"/>
  </bookViews>
  <sheets>
    <sheet name="Sheet2" sheetId="23" r:id="rId1"/>
    <sheet name="JOB LIST - SST" sheetId="18" r:id="rId2"/>
    <sheet name="CIP-REOCC" sheetId="2" r:id="rId3"/>
    <sheet name="LABS" sheetId="5" r:id="rId4"/>
    <sheet name="PAYROLL" sheetId="3" r:id="rId5"/>
    <sheet name="LAB PRICES" sheetId="12" r:id="rId6"/>
    <sheet name="PROJECT LOG" sheetId="15" r:id="rId7"/>
    <sheet name="ALLAB INOVICES" sheetId="6" r:id="rId8"/>
    <sheet name="LTS INVOICES" sheetId="10" r:id="rId9"/>
  </sheets>
  <externalReferences>
    <externalReference r:id="rId10"/>
  </externalReferences>
  <definedNames>
    <definedName name="_xlnm._FilterDatabase" localSheetId="7" hidden="1">'ALLAB INOVICES'!$A$1:$E$785</definedName>
    <definedName name="_xlnm._FilterDatabase" localSheetId="2" hidden="1">'CIP-REOCC'!$A$1:$F$118</definedName>
    <definedName name="_xlnm._FilterDatabase" localSheetId="3" hidden="1">LABS!$A$1:$J$586</definedName>
    <definedName name="_xlnm._FilterDatabase" localSheetId="4" hidden="1">PAYROLL!$A$1:$K$65</definedName>
    <definedName name="_xlcn.WorksheetConnection_COMPANYDATABASE.xlsxtblJobs1" hidden="1">tblJobs[]</definedName>
    <definedName name="_xlcn.WorksheetConnection_COMPANYDATABASE.xlsxtblLabPrices1" hidden="1">tblLabPrices[]</definedName>
    <definedName name="_xlcn.WorksheetConnection_COMPANYDATABASE.xlsxtblLabs1" hidden="1">tblLabs[]</definedName>
    <definedName name="_xlcn.WorksheetConnection_COMPANYDATABASE.xlsxtblPayroll1" hidden="1">tblPayroll[]</definedName>
    <definedName name="_xlcn.WorksheetConnection_COMPANYDATABASE.xlsxtblReoccupancy1" hidden="1">tblReoccupancy[]</definedName>
    <definedName name="QB_COLUMN_1" localSheetId="7" hidden="1">'ALLAB INOVICES'!#REF!</definedName>
    <definedName name="QB_COLUMN_16" localSheetId="7" hidden="1">'ALLAB INOVICES'!#REF!</definedName>
    <definedName name="QB_COLUMN_19" localSheetId="7" hidden="1">'ALLAB INOVICES'!#REF!</definedName>
    <definedName name="QB_COLUMN_20" localSheetId="7" hidden="1">'ALLAB INOVICES'!#REF!</definedName>
    <definedName name="QB_COLUMN_3" localSheetId="7" hidden="1">'ALLAB INOVICES'!#REF!</definedName>
    <definedName name="QB_COLUMN_30" localSheetId="7" hidden="1">'ALLAB INOVICES'!$E$1</definedName>
    <definedName name="QB_COLUMN_4" localSheetId="7" hidden="1">'ALLAB INOVICES'!$A$1</definedName>
    <definedName name="QB_COLUMN_5" localSheetId="7" hidden="1">'ALLAB INOVICES'!$B$1</definedName>
    <definedName name="QB_COLUMN_8" localSheetId="7" hidden="1">'ALLAB INOVICES'!$C$1</definedName>
    <definedName name="QB_DATA_0" localSheetId="7" hidden="1">'ALLAB INOVICES'!#REF!,'ALLAB INOVICES'!#REF!,'ALLAB INOVICES'!#REF!,'ALLAB INOVICES'!#REF!,'ALLAB INOVICES'!#REF!,'ALLAB INOVICES'!#REF!,'ALLAB INOVICES'!#REF!,'ALLAB INOVICES'!#REF!,'ALLAB INOVICES'!#REF!,'ALLAB INOVICES'!#REF!,'ALLAB INOVICES'!#REF!,'ALLAB INOVICES'!#REF!,'ALLAB INOVICES'!#REF!,'ALLAB INOVICES'!#REF!,'ALLAB INOVICES'!#REF!,'ALLAB INOVICES'!#REF!</definedName>
    <definedName name="QB_DATA_1" localSheetId="7" hidden="1">'ALLAB INOVICES'!#REF!,'ALLAB INOVICES'!#REF!,'ALLAB INOVICES'!#REF!,'ALLAB INOVICES'!#REF!,'ALLAB INOVICES'!#REF!,'ALLAB INOVICES'!#REF!,'ALLAB INOVICES'!#REF!,'ALLAB INOVICES'!#REF!,'ALLAB INOVICES'!#REF!,'ALLAB INOVICES'!#REF!,'ALLAB INOVICES'!#REF!,'ALLAB INOVICES'!#REF!,'ALLAB INOVICES'!#REF!,'ALLAB INOVICES'!#REF!,'ALLAB INOVICES'!#REF!,'ALLAB INOVICES'!#REF!</definedName>
    <definedName name="QB_DATA_10" localSheetId="7" hidden="1">'ALLAB INOVICES'!$94:$94,'ALLAB INOVICES'!$95:$95,'ALLAB INOVICES'!$96:$96,'ALLAB INOVICES'!$97:$97,'ALLAB INOVICES'!$98:$98,'ALLAB INOVICES'!$99:$99,'ALLAB INOVICES'!$100:$100,'ALLAB INOVICES'!$101:$101,'ALLAB INOVICES'!$102:$102,'ALLAB INOVICES'!$103:$103,'ALLAB INOVICES'!$104:$104,'ALLAB INOVICES'!$105:$105,'ALLAB INOVICES'!$106:$106,'ALLAB INOVICES'!$107:$107,'ALLAB INOVICES'!$108:$108,'ALLAB INOVICES'!$109:$109</definedName>
    <definedName name="QB_DATA_11" localSheetId="7" hidden="1">'ALLAB INOVICES'!$110:$110,'ALLAB INOVICES'!$111:$111,'ALLAB INOVICES'!$112:$112,'ALLAB INOVICES'!$113:$113,'ALLAB INOVICES'!$114:$114,'ALLAB INOVICES'!$115:$115,'ALLAB INOVICES'!$116:$116,'ALLAB INOVICES'!$117:$117,'ALLAB INOVICES'!$118:$118,'ALLAB INOVICES'!$119:$119,'ALLAB INOVICES'!$120:$120,'ALLAB INOVICES'!$121:$121,'ALLAB INOVICES'!$122:$122,'ALLAB INOVICES'!$123:$123,'ALLAB INOVICES'!$124:$124,'ALLAB INOVICES'!$125:$125</definedName>
    <definedName name="QB_DATA_12" localSheetId="7" hidden="1">'ALLAB INOVICES'!$126:$126,'ALLAB INOVICES'!$127:$127,'ALLAB INOVICES'!$128:$128,'ALLAB INOVICES'!$129:$129,'ALLAB INOVICES'!$130:$130,'ALLAB INOVICES'!$131:$131,'ALLAB INOVICES'!#REF!,'ALLAB INOVICES'!#REF!,'ALLAB INOVICES'!#REF!,'ALLAB INOVICES'!$132:$132,'ALLAB INOVICES'!$133:$133,'ALLAB INOVICES'!$134:$134,'ALLAB INOVICES'!$135:$135,'ALLAB INOVICES'!$136:$136,'ALLAB INOVICES'!$137:$137,'ALLAB INOVICES'!$138:$138</definedName>
    <definedName name="QB_DATA_13" localSheetId="7" hidden="1">'ALLAB INOVICES'!$139:$139,'ALLAB INOVICES'!$140:$140,'ALLAB INOVICES'!$141:$141,'ALLAB INOVICES'!$142:$142,'ALLAB INOVICES'!#REF!,'ALLAB INOVICES'!#REF!,'ALLAB INOVICES'!$143:$143,'ALLAB INOVICES'!$144:$144,'ALLAB INOVICES'!$145:$145,'ALLAB INOVICES'!$146:$146,'ALLAB INOVICES'!$147:$147,'ALLAB INOVICES'!$148:$148,'ALLAB INOVICES'!$149:$149,'ALLAB INOVICES'!$150:$150,'ALLAB INOVICES'!$151:$151,'ALLAB INOVICES'!$152:$152</definedName>
    <definedName name="QB_DATA_14" localSheetId="7" hidden="1">'ALLAB INOVICES'!$153:$153,'ALLAB INOVICES'!$154:$154,'ALLAB INOVICES'!$155:$155,'ALLAB INOVICES'!$156:$156,'ALLAB INOVICES'!$157:$157,'ALLAB INOVICES'!#REF!,'ALLAB INOVICES'!$158:$158,'ALLAB INOVICES'!$159:$159,'ALLAB INOVICES'!$160:$160,'ALLAB INOVICES'!$161:$161,'ALLAB INOVICES'!$162:$162,'ALLAB INOVICES'!$163:$163,'ALLAB INOVICES'!$164:$164,'ALLAB INOVICES'!$165:$165,'ALLAB INOVICES'!$166:$166,'ALLAB INOVICES'!$167:$167</definedName>
    <definedName name="QB_DATA_15" localSheetId="7" hidden="1">'ALLAB INOVICES'!$168:$168,'ALLAB INOVICES'!$169:$169,'ALLAB INOVICES'!$170:$170,'ALLAB INOVICES'!$171:$171,'ALLAB INOVICES'!$172:$172,'ALLAB INOVICES'!$173:$173,'ALLAB INOVICES'!$174:$174,'ALLAB INOVICES'!$175:$175,'ALLAB INOVICES'!$176:$176,'ALLAB INOVICES'!$177:$177,'ALLAB INOVICES'!$178:$178,'ALLAB INOVICES'!$179:$179,'ALLAB INOVICES'!$180:$180,'ALLAB INOVICES'!$181:$181,'ALLAB INOVICES'!$182:$182,'ALLAB INOVICES'!$183:$183</definedName>
    <definedName name="QB_DATA_16" localSheetId="7" hidden="1">'ALLAB INOVICES'!$184:$184,'ALLAB INOVICES'!$185:$185,'ALLAB INOVICES'!$186:$186,'ALLAB INOVICES'!#REF!,'ALLAB INOVICES'!$187:$187,'ALLAB INOVICES'!$188:$188,'ALLAB INOVICES'!$189:$189,'ALLAB INOVICES'!$190:$190,'ALLAB INOVICES'!$191:$191,'ALLAB INOVICES'!$192:$192,'ALLAB INOVICES'!$193:$193,'ALLAB INOVICES'!$194:$194,'ALLAB INOVICES'!$195:$195,'ALLAB INOVICES'!$196:$196,'ALLAB INOVICES'!$197:$197,'ALLAB INOVICES'!$198:$198</definedName>
    <definedName name="QB_DATA_17" localSheetId="7" hidden="1">'ALLAB INOVICES'!$199:$199,'ALLAB INOVICES'!$200:$200,'ALLAB INOVICES'!$201:$201,'ALLAB INOVICES'!$202:$202,'ALLAB INOVICES'!$203:$203,'ALLAB INOVICES'!$204:$204,'ALLAB INOVICES'!$205:$205,'ALLAB INOVICES'!$206:$206,'ALLAB INOVICES'!$207:$207,'ALLAB INOVICES'!$208:$208,'ALLAB INOVICES'!$209:$209,'ALLAB INOVICES'!$210:$210,'ALLAB INOVICES'!$211:$211,'ALLAB INOVICES'!$212:$212,'ALLAB INOVICES'!$213:$213,'ALLAB INOVICES'!$214:$214</definedName>
    <definedName name="QB_DATA_18" localSheetId="7" hidden="1">'ALLAB INOVICES'!$215:$215,'ALLAB INOVICES'!$216:$216,'ALLAB INOVICES'!$217:$217,'ALLAB INOVICES'!$218:$218,'ALLAB INOVICES'!$219:$219,'ALLAB INOVICES'!$220:$220,'ALLAB INOVICES'!$221:$221,'ALLAB INOVICES'!$222:$222,'ALLAB INOVICES'!$223:$223,'ALLAB INOVICES'!$224:$224,'ALLAB INOVICES'!$225:$225,'ALLAB INOVICES'!$226:$226,'ALLAB INOVICES'!$227:$227,'ALLAB INOVICES'!$228:$228,'ALLAB INOVICES'!$229:$229,'ALLAB INOVICES'!$230:$230</definedName>
    <definedName name="QB_DATA_19" localSheetId="7" hidden="1">'ALLAB INOVICES'!$231:$231,'ALLAB INOVICES'!$232:$232,'ALLAB INOVICES'!$233:$233,'ALLAB INOVICES'!$234:$234,'ALLAB INOVICES'!$235:$235,'ALLAB INOVICES'!$236:$236,'ALLAB INOVICES'!$237:$237,'ALLAB INOVICES'!$238:$238,'ALLAB INOVICES'!$239:$239,'ALLAB INOVICES'!$240:$240,'ALLAB INOVICES'!$241:$241,'ALLAB INOVICES'!$242:$242,'ALLAB INOVICES'!$243:$243,'ALLAB INOVICES'!$244:$244,'ALLAB INOVICES'!$245:$245,'ALLAB INOVICES'!$246:$246</definedName>
    <definedName name="QB_DATA_2" localSheetId="7" hidden="1">'ALLAB INOVICES'!#REF!,'ALLAB INOVICES'!#REF!,'ALLAB INOVICES'!#REF!,'ALLAB INOVICES'!#REF!,'ALLAB INOVICES'!#REF!,'ALLAB INOVICES'!#REF!,'ALLAB INOVICES'!#REF!,'ALLAB INOVICES'!#REF!,'ALLAB INOVICES'!#REF!,'ALLAB INOVICES'!#REF!,'ALLAB INOVICES'!#REF!,'ALLAB INOVICES'!#REF!,'ALLAB INOVICES'!#REF!,'ALLAB INOVICES'!#REF!,'ALLAB INOVICES'!#REF!,'ALLAB INOVICES'!#REF!</definedName>
    <definedName name="QB_DATA_20" localSheetId="7" hidden="1">'ALLAB INOVICES'!$247:$247,'ALLAB INOVICES'!$248:$248,'ALLAB INOVICES'!$249:$249,'ALLAB INOVICES'!$250:$250,'ALLAB INOVICES'!$251:$251,'ALLAB INOVICES'!$252:$252,'ALLAB INOVICES'!$253:$253,'ALLAB INOVICES'!$254:$254,'ALLAB INOVICES'!$255:$255,'ALLAB INOVICES'!$256:$256,'ALLAB INOVICES'!$257:$257,'ALLAB INOVICES'!$258:$258,'ALLAB INOVICES'!$259:$259,'ALLAB INOVICES'!$260:$260,'ALLAB INOVICES'!$261:$261,'ALLAB INOVICES'!$262:$262</definedName>
    <definedName name="QB_DATA_21" localSheetId="7" hidden="1">'ALLAB INOVICES'!$263:$263,'ALLAB INOVICES'!$264:$264,'ALLAB INOVICES'!$265:$265,'ALLAB INOVICES'!$266:$266,'ALLAB INOVICES'!$267:$267,'ALLAB INOVICES'!$268:$268,'ALLAB INOVICES'!$269:$269,'ALLAB INOVICES'!$270:$270,'ALLAB INOVICES'!$271:$271,'ALLAB INOVICES'!$272:$272,'ALLAB INOVICES'!$273:$273,'ALLAB INOVICES'!$274:$274,'ALLAB INOVICES'!$275:$275,'ALLAB INOVICES'!$276:$276,'ALLAB INOVICES'!$277:$277,'ALLAB INOVICES'!$278:$278</definedName>
    <definedName name="QB_DATA_22" localSheetId="7" hidden="1">'ALLAB INOVICES'!$279:$279,'ALLAB INOVICES'!$280:$280,'ALLAB INOVICES'!$281:$281,'ALLAB INOVICES'!$282:$282,'ALLAB INOVICES'!$283:$283,'ALLAB INOVICES'!$284:$284,'ALLAB INOVICES'!$285:$285,'ALLAB INOVICES'!$286:$286,'ALLAB INOVICES'!$287:$287,'ALLAB INOVICES'!$288:$288,'ALLAB INOVICES'!$289:$289,'ALLAB INOVICES'!$290:$290,'ALLAB INOVICES'!$291:$291,'ALLAB INOVICES'!$292:$292,'ALLAB INOVICES'!$293:$293,'ALLAB INOVICES'!$294:$294</definedName>
    <definedName name="QB_DATA_23" localSheetId="7" hidden="1">'ALLAB INOVICES'!$295:$295,'ALLAB INOVICES'!$296:$296,'ALLAB INOVICES'!$297:$297,'ALLAB INOVICES'!$298:$298,'ALLAB INOVICES'!$299:$299,'ALLAB INOVICES'!$300:$300,'ALLAB INOVICES'!$301:$301,'ALLAB INOVICES'!$302:$302,'ALLAB INOVICES'!$303:$303,'ALLAB INOVICES'!$304:$304,'ALLAB INOVICES'!$305:$305,'ALLAB INOVICES'!$306:$306,'ALLAB INOVICES'!$307:$307,'ALLAB INOVICES'!$308:$308,'ALLAB INOVICES'!$309:$309,'ALLAB INOVICES'!$310:$310</definedName>
    <definedName name="QB_DATA_24" localSheetId="7" hidden="1">'ALLAB INOVICES'!$311:$311,'ALLAB INOVICES'!$312:$312,'ALLAB INOVICES'!$313:$313,'ALLAB INOVICES'!$314:$314,'ALLAB INOVICES'!$315:$315,'ALLAB INOVICES'!$316:$316,'ALLAB INOVICES'!$317:$317,'ALLAB INOVICES'!$318:$318,'ALLAB INOVICES'!$319:$319,'ALLAB INOVICES'!$320:$320,'ALLAB INOVICES'!$321:$321,'ALLAB INOVICES'!$322:$322,'ALLAB INOVICES'!$323:$323,'ALLAB INOVICES'!$324:$324,'ALLAB INOVICES'!$325:$325,'ALLAB INOVICES'!$326:$326</definedName>
    <definedName name="QB_DATA_25" localSheetId="7" hidden="1">'ALLAB INOVICES'!$327:$327,'ALLAB INOVICES'!$328:$328,'ALLAB INOVICES'!$329:$329,'ALLAB INOVICES'!$330:$330,'ALLAB INOVICES'!$331:$331,'ALLAB INOVICES'!$332:$332,'ALLAB INOVICES'!$333:$333,'ALLAB INOVICES'!$334:$334,'ALLAB INOVICES'!$335:$335,'ALLAB INOVICES'!$336:$336,'ALLAB INOVICES'!$337:$337,'ALLAB INOVICES'!$338:$338,'ALLAB INOVICES'!$339:$339,'ALLAB INOVICES'!$340:$340,'ALLAB INOVICES'!$341:$341,'ALLAB INOVICES'!$342:$342</definedName>
    <definedName name="QB_DATA_26" localSheetId="7" hidden="1">'ALLAB INOVICES'!$343:$343,'ALLAB INOVICES'!$344:$344,'ALLAB INOVICES'!$345:$345,'ALLAB INOVICES'!$346:$346,'ALLAB INOVICES'!$347:$347,'ALLAB INOVICES'!$348:$348,'ALLAB INOVICES'!$349:$349,'ALLAB INOVICES'!$350:$350,'ALLAB INOVICES'!$351:$351,'ALLAB INOVICES'!$352:$352,'ALLAB INOVICES'!$353:$353,'ALLAB INOVICES'!$354:$354,'ALLAB INOVICES'!$355:$355,'ALLAB INOVICES'!$356:$356,'ALLAB INOVICES'!$357:$357,'ALLAB INOVICES'!$358:$358</definedName>
    <definedName name="QB_DATA_27" localSheetId="7" hidden="1">'ALLAB INOVICES'!$359:$359,'ALLAB INOVICES'!$360:$360,'ALLAB INOVICES'!$361:$361,'ALLAB INOVICES'!$362:$362,'ALLAB INOVICES'!$363:$363,'ALLAB INOVICES'!$364:$364,'ALLAB INOVICES'!$365:$365,'ALLAB INOVICES'!$366:$366,'ALLAB INOVICES'!$367:$367,'ALLAB INOVICES'!$368:$368,'ALLAB INOVICES'!$369:$369,'ALLAB INOVICES'!$370:$370,'ALLAB INOVICES'!$371:$371,'ALLAB INOVICES'!$372:$372,'ALLAB INOVICES'!$373:$373,'ALLAB INOVICES'!$374:$374</definedName>
    <definedName name="QB_DATA_28" localSheetId="7" hidden="1">'ALLAB INOVICES'!$375:$375,'ALLAB INOVICES'!$376:$376,'ALLAB INOVICES'!$377:$377,'ALLAB INOVICES'!$378:$378,'ALLAB INOVICES'!$379:$379,'ALLAB INOVICES'!$380:$380,'ALLAB INOVICES'!$381:$381,'ALLAB INOVICES'!$382:$382,'ALLAB INOVICES'!$383:$383,'ALLAB INOVICES'!$384:$384,'ALLAB INOVICES'!$385:$385,'ALLAB INOVICES'!$386:$386,'ALLAB INOVICES'!$387:$387,'ALLAB INOVICES'!$388:$388,'ALLAB INOVICES'!$389:$389,'ALLAB INOVICES'!$390:$390</definedName>
    <definedName name="QB_DATA_29" localSheetId="7" hidden="1">'ALLAB INOVICES'!$391:$391,'ALLAB INOVICES'!$392:$392,'ALLAB INOVICES'!$393:$393,'ALLAB INOVICES'!$394:$394,'ALLAB INOVICES'!$395:$395,'ALLAB INOVICES'!$396:$396,'ALLAB INOVICES'!$397:$397,'ALLAB INOVICES'!$398:$398,'ALLAB INOVICES'!$399:$399,'ALLAB INOVICES'!$400:$400,'ALLAB INOVICES'!$401:$401,'ALLAB INOVICES'!$402:$402,'ALLAB INOVICES'!$403:$403,'ALLAB INOVICES'!$404:$404,'ALLAB INOVICES'!$405:$405,'ALLAB INOVICES'!$406:$406</definedName>
    <definedName name="QB_DATA_3" localSheetId="7" hidden="1">'ALLAB INOVICES'!#REF!,'ALLAB INOVICES'!#REF!,'ALLAB INOVICES'!$2:$2,'ALLAB INOVICES'!$3:$3,'ALLAB INOVICES'!$4:$4,'ALLAB INOVICES'!#REF!,'ALLAB INOVICES'!$5:$5,'ALLAB INOVICES'!$6:$6,'ALLAB INOVICES'!$7:$7,'ALLAB INOVICES'!$8:$8,'ALLAB INOVICES'!#REF!,'ALLAB INOVICES'!$9:$9,'ALLAB INOVICES'!$10:$10,'ALLAB INOVICES'!$11:$11,'ALLAB INOVICES'!$12:$12,'ALLAB INOVICES'!$13:$13</definedName>
    <definedName name="QB_DATA_30" localSheetId="7" hidden="1">'ALLAB INOVICES'!$407:$407,'ALLAB INOVICES'!$408:$408,'ALLAB INOVICES'!$409:$409,'ALLAB INOVICES'!$410:$410,'ALLAB INOVICES'!$411:$411,'ALLAB INOVICES'!$412:$412,'ALLAB INOVICES'!$413:$413,'ALLAB INOVICES'!$414:$414,'ALLAB INOVICES'!#REF!,'ALLAB INOVICES'!#REF!,'ALLAB INOVICES'!$415:$415,'ALLAB INOVICES'!$416:$416,'ALLAB INOVICES'!$417:$417,'ALLAB INOVICES'!$418:$418,'ALLAB INOVICES'!$419:$419,'ALLAB INOVICES'!$420:$420</definedName>
    <definedName name="QB_DATA_31" localSheetId="7" hidden="1">'ALLAB INOVICES'!$421:$421,'ALLAB INOVICES'!$422:$422,'ALLAB INOVICES'!$423:$423,'ALLAB INOVICES'!$424:$424,'ALLAB INOVICES'!$425:$425,'ALLAB INOVICES'!$426:$426,'ALLAB INOVICES'!$427:$427,'ALLAB INOVICES'!$428:$428,'ALLAB INOVICES'!$429:$429,'ALLAB INOVICES'!$430:$430,'ALLAB INOVICES'!$431:$431,'ALLAB INOVICES'!$432:$432,'ALLAB INOVICES'!#REF!,'ALLAB INOVICES'!$433:$433,'ALLAB INOVICES'!$434:$434,'ALLAB INOVICES'!$435:$435</definedName>
    <definedName name="QB_DATA_32" localSheetId="7" hidden="1">'ALLAB INOVICES'!$436:$436,'ALLAB INOVICES'!$437:$437,'ALLAB INOVICES'!$438:$438,'ALLAB INOVICES'!$439:$439,'ALLAB INOVICES'!$440:$440,'ALLAB INOVICES'!$441:$441,'ALLAB INOVICES'!$442:$442,'ALLAB INOVICES'!$443:$443,'ALLAB INOVICES'!$444:$444,'ALLAB INOVICES'!$445:$445,'ALLAB INOVICES'!$446:$446,'ALLAB INOVICES'!$447:$447,'ALLAB INOVICES'!$448:$448,'ALLAB INOVICES'!$449:$449,'ALLAB INOVICES'!$450:$450,'ALLAB INOVICES'!$451:$451</definedName>
    <definedName name="QB_DATA_33" localSheetId="7" hidden="1">'ALLAB INOVICES'!$452:$452,'ALLAB INOVICES'!$453:$453,'ALLAB INOVICES'!$454:$454,'ALLAB INOVICES'!$455:$455,'ALLAB INOVICES'!$456:$456,'ALLAB INOVICES'!$457:$457,'ALLAB INOVICES'!$458:$458,'ALLAB INOVICES'!$459:$459,'ALLAB INOVICES'!$460:$460,'ALLAB INOVICES'!$461:$461,'ALLAB INOVICES'!$462:$462,'ALLAB INOVICES'!$463:$463,'ALLAB INOVICES'!$464:$464,'ALLAB INOVICES'!$465:$465,'ALLAB INOVICES'!$466:$466,'ALLAB INOVICES'!$467:$467</definedName>
    <definedName name="QB_DATA_34" localSheetId="7" hidden="1">'ALLAB INOVICES'!$468:$468,'ALLAB INOVICES'!$469:$469,'ALLAB INOVICES'!$470:$470,'ALLAB INOVICES'!$471:$471,'ALLAB INOVICES'!$472:$472,'ALLAB INOVICES'!$473:$473,'ALLAB INOVICES'!$474:$474,'ALLAB INOVICES'!$475:$475,'ALLAB INOVICES'!$476:$476,'ALLAB INOVICES'!$477:$477,'ALLAB INOVICES'!$478:$478,'ALLAB INOVICES'!$479:$479,'ALLAB INOVICES'!$480:$480,'ALLAB INOVICES'!$481:$481,'ALLAB INOVICES'!$482:$482,'ALLAB INOVICES'!$483:$483</definedName>
    <definedName name="QB_DATA_35" localSheetId="7" hidden="1">'ALLAB INOVICES'!$484:$484,'ALLAB INOVICES'!$485:$485,'ALLAB INOVICES'!$486:$486,'ALLAB INOVICES'!$487:$487,'ALLAB INOVICES'!$488:$488,'ALLAB INOVICES'!$489:$489,'ALLAB INOVICES'!$490:$490,'ALLAB INOVICES'!$491:$491,'ALLAB INOVICES'!$492:$492,'ALLAB INOVICES'!$493:$493,'ALLAB INOVICES'!$494:$494,'ALLAB INOVICES'!$495:$495,'ALLAB INOVICES'!$496:$496,'ALLAB INOVICES'!$497:$497,'ALLAB INOVICES'!$498:$498,'ALLAB INOVICES'!$499:$499</definedName>
    <definedName name="QB_DATA_36" localSheetId="7" hidden="1">'ALLAB INOVICES'!$500:$500,'ALLAB INOVICES'!$501:$501,'ALLAB INOVICES'!$502:$502,'ALLAB INOVICES'!$503:$503,'ALLAB INOVICES'!$504:$504,'ALLAB INOVICES'!$505:$505,'ALLAB INOVICES'!$506:$506,'ALLAB INOVICES'!$507:$507,'ALLAB INOVICES'!$508:$508,'ALLAB INOVICES'!#REF!,'ALLAB INOVICES'!$509:$509,'ALLAB INOVICES'!$510:$510,'ALLAB INOVICES'!$511:$511,'ALLAB INOVICES'!$512:$512,'ALLAB INOVICES'!$513:$513,'ALLAB INOVICES'!$514:$514</definedName>
    <definedName name="QB_DATA_37" localSheetId="7" hidden="1">'ALLAB INOVICES'!$515:$515,'ALLAB INOVICES'!$516:$516,'ALLAB INOVICES'!$517:$517,'ALLAB INOVICES'!$518:$518,'ALLAB INOVICES'!$519:$519,'ALLAB INOVICES'!$520:$520,'ALLAB INOVICES'!$521:$521,'ALLAB INOVICES'!$522:$522,'ALLAB INOVICES'!$523:$523,'ALLAB INOVICES'!$524:$524,'ALLAB INOVICES'!$525:$525,'ALLAB INOVICES'!$526:$526,'ALLAB INOVICES'!$527:$527,'ALLAB INOVICES'!$528:$528,'ALLAB INOVICES'!$529:$529,'ALLAB INOVICES'!$530:$530</definedName>
    <definedName name="QB_DATA_38" localSheetId="7" hidden="1">'ALLAB INOVICES'!$531:$531,'ALLAB INOVICES'!$532:$532,'ALLAB INOVICES'!$533:$533,'ALLAB INOVICES'!$534:$534,'ALLAB INOVICES'!$535:$535,'ALLAB INOVICES'!$536:$536,'ALLAB INOVICES'!$537:$537,'ALLAB INOVICES'!$538:$538,'ALLAB INOVICES'!$539:$539,'ALLAB INOVICES'!$540:$540,'ALLAB INOVICES'!$541:$541,'ALLAB INOVICES'!$542:$542,'ALLAB INOVICES'!$543:$543,'ALLAB INOVICES'!$544:$544,'ALLAB INOVICES'!$545:$545,'ALLAB INOVICES'!$546:$546</definedName>
    <definedName name="QB_DATA_39" localSheetId="7" hidden="1">'ALLAB INOVICES'!$547:$547,'ALLAB INOVICES'!$548:$548,'ALLAB INOVICES'!$549:$549,'ALLAB INOVICES'!$550:$550,'ALLAB INOVICES'!$551:$551,'ALLAB INOVICES'!$552:$552,'ALLAB INOVICES'!$553:$553,'ALLAB INOVICES'!$554:$554,'ALLAB INOVICES'!$555:$555,'ALLAB INOVICES'!$556:$556,'ALLAB INOVICES'!$557:$557,'ALLAB INOVICES'!$558:$558,'ALLAB INOVICES'!$559:$559,'ALLAB INOVICES'!$560:$560,'ALLAB INOVICES'!$561:$561,'ALLAB INOVICES'!$562:$562</definedName>
    <definedName name="QB_DATA_4" localSheetId="7" hidden="1">'ALLAB INOVICES'!$14:$14,'ALLAB INOVICES'!$15:$15,'ALLAB INOVICES'!$16:$16,'ALLAB INOVICES'!$17:$17,'ALLAB INOVICES'!$18:$18,'ALLAB INOVICES'!$19:$19,'ALLAB INOVICES'!$20:$20,'ALLAB INOVICES'!$21:$21,'ALLAB INOVICES'!$22:$22,'ALLAB INOVICES'!$23:$23,'ALLAB INOVICES'!$24:$24,'ALLAB INOVICES'!$25:$25,'ALLAB INOVICES'!$26:$26,'ALLAB INOVICES'!$27:$27,'ALLAB INOVICES'!$28:$28,'ALLAB INOVICES'!$29:$29</definedName>
    <definedName name="QB_DATA_40" localSheetId="7" hidden="1">'ALLAB INOVICES'!$563:$563,'ALLAB INOVICES'!$564:$564,'ALLAB INOVICES'!$565:$565,'ALLAB INOVICES'!$566:$566,'ALLAB INOVICES'!$567:$567,'ALLAB INOVICES'!$568:$568,'ALLAB INOVICES'!$569:$569,'ALLAB INOVICES'!$570:$570,'ALLAB INOVICES'!$571:$571,'ALLAB INOVICES'!$572:$572,'ALLAB INOVICES'!#REF!,'ALLAB INOVICES'!#REF!,'ALLAB INOVICES'!#REF!,'ALLAB INOVICES'!$573:$573,'ALLAB INOVICES'!$574:$574,'ALLAB INOVICES'!$575:$575</definedName>
    <definedName name="QB_DATA_41" localSheetId="7" hidden="1">'ALLAB INOVICES'!$576:$576,'ALLAB INOVICES'!$577:$577,'ALLAB INOVICES'!$578:$578,'ALLAB INOVICES'!$579:$579,'ALLAB INOVICES'!$580:$580,'ALLAB INOVICES'!$581:$581,'ALLAB INOVICES'!$582:$582,'ALLAB INOVICES'!$583:$583,'ALLAB INOVICES'!$584:$584,'ALLAB INOVICES'!$585:$585,'ALLAB INOVICES'!$586:$586,'ALLAB INOVICES'!$587:$587,'ALLAB INOVICES'!$588:$588,'ALLAB INOVICES'!$589:$589,'ALLAB INOVICES'!$590:$590,'ALLAB INOVICES'!$591:$591</definedName>
    <definedName name="QB_DATA_42" localSheetId="7" hidden="1">'ALLAB INOVICES'!$592:$592,'ALLAB INOVICES'!$593:$593,'ALLAB INOVICES'!$594:$594,'ALLAB INOVICES'!$595:$595,'ALLAB INOVICES'!$596:$596,'ALLAB INOVICES'!$597:$597,'ALLAB INOVICES'!$598:$598,'ALLAB INOVICES'!$599:$599,'ALLAB INOVICES'!$600:$600,'ALLAB INOVICES'!$601:$601,'ALLAB INOVICES'!$602:$602,'ALLAB INOVICES'!$603:$603,'ALLAB INOVICES'!$604:$604,'ALLAB INOVICES'!$605:$605,'ALLAB INOVICES'!$606:$606,'ALLAB INOVICES'!$607:$607</definedName>
    <definedName name="QB_DATA_43" localSheetId="7" hidden="1">'ALLAB INOVICES'!$608:$608,'ALLAB INOVICES'!$609:$609,'ALLAB INOVICES'!$610:$610,'ALLAB INOVICES'!$611:$611,'ALLAB INOVICES'!$612:$612,'ALLAB INOVICES'!$613:$613,'ALLAB INOVICES'!$614:$614,'ALLAB INOVICES'!$615:$615,'ALLAB INOVICES'!$616:$616,'ALLAB INOVICES'!$617:$617,'ALLAB INOVICES'!$618:$618,'ALLAB INOVICES'!$619:$619,'ALLAB INOVICES'!$620:$620,'ALLAB INOVICES'!$621:$621,'ALLAB INOVICES'!$622:$622,'ALLAB INOVICES'!$623:$623</definedName>
    <definedName name="QB_DATA_44" localSheetId="7" hidden="1">'ALLAB INOVICES'!$624:$624,'ALLAB INOVICES'!$625:$625,'ALLAB INOVICES'!$626:$626,'ALLAB INOVICES'!$627:$627,'ALLAB INOVICES'!$628:$628,'ALLAB INOVICES'!$629:$629,'ALLAB INOVICES'!$630:$630,'ALLAB INOVICES'!$631:$631,'ALLAB INOVICES'!$632:$632,'ALLAB INOVICES'!$633:$633,'ALLAB INOVICES'!$634:$634,'ALLAB INOVICES'!$635:$635,'ALLAB INOVICES'!$636:$636,'ALLAB INOVICES'!$637:$637,'ALLAB INOVICES'!$638:$638,'ALLAB INOVICES'!$639:$639</definedName>
    <definedName name="QB_DATA_45" localSheetId="7" hidden="1">'ALLAB INOVICES'!$640:$640,'ALLAB INOVICES'!$641:$641,'ALLAB INOVICES'!$642:$642,'ALLAB INOVICES'!$643:$643,'ALLAB INOVICES'!$644:$644,'ALLAB INOVICES'!$645:$645,'ALLAB INOVICES'!$646:$646,'ALLAB INOVICES'!$647:$647,'ALLAB INOVICES'!$648:$648,'ALLAB INOVICES'!$649:$649,'ALLAB INOVICES'!$650:$650,'ALLAB INOVICES'!$651:$651,'ALLAB INOVICES'!$652:$652,'ALLAB INOVICES'!$653:$653,'ALLAB INOVICES'!$654:$654,'ALLAB INOVICES'!$655:$655</definedName>
    <definedName name="QB_DATA_46" localSheetId="7" hidden="1">'ALLAB INOVICES'!$656:$656,'ALLAB INOVICES'!$657:$657,'ALLAB INOVICES'!$658:$658,'ALLAB INOVICES'!$659:$659,'ALLAB INOVICES'!$660:$660,'ALLAB INOVICES'!$661:$661,'ALLAB INOVICES'!$662:$662,'ALLAB INOVICES'!$663:$663,'ALLAB INOVICES'!$664:$664,'ALLAB INOVICES'!$665:$665,'ALLAB INOVICES'!$666:$666,'ALLAB INOVICES'!$667:$667,'ALLAB INOVICES'!$668:$668,'ALLAB INOVICES'!$669:$669,'ALLAB INOVICES'!$670:$670,'ALLAB INOVICES'!#REF!</definedName>
    <definedName name="QB_DATA_47" localSheetId="7" hidden="1">'ALLAB INOVICES'!#REF!,'ALLAB INOVICES'!#REF!,'ALLAB INOVICES'!$671:$671,'ALLAB INOVICES'!$672:$672,'ALLAB INOVICES'!$673:$673,'ALLAB INOVICES'!$674:$674,'ALLAB INOVICES'!$675:$675,'ALLAB INOVICES'!$676:$676,'ALLAB INOVICES'!$677:$677,'ALLAB INOVICES'!$678:$678,'ALLAB INOVICES'!$679:$679,'ALLAB INOVICES'!$680:$680,'ALLAB INOVICES'!$681:$681,'ALLAB INOVICES'!$682:$682,'ALLAB INOVICES'!$683:$683,'ALLAB INOVICES'!$684:$684</definedName>
    <definedName name="QB_DATA_48" localSheetId="7" hidden="1">'ALLAB INOVICES'!$685:$685,'ALLAB INOVICES'!$686:$686,'ALLAB INOVICES'!$687:$687,'ALLAB INOVICES'!$688:$688,'ALLAB INOVICES'!$689:$689,'ALLAB INOVICES'!$690:$690,'ALLAB INOVICES'!$691:$691,'ALLAB INOVICES'!$692:$692,'ALLAB INOVICES'!$693:$693,'ALLAB INOVICES'!$694:$694,'ALLAB INOVICES'!$695:$695,'ALLAB INOVICES'!$696:$696,'ALLAB INOVICES'!$697:$697,'ALLAB INOVICES'!$698:$698,'ALLAB INOVICES'!$699:$699,'ALLAB INOVICES'!$700:$700</definedName>
    <definedName name="QB_DATA_49" localSheetId="7" hidden="1">'ALLAB INOVICES'!$701:$701,'ALLAB INOVICES'!$702:$702,'ALLAB INOVICES'!$703:$703,'ALLAB INOVICES'!$704:$704,'ALLAB INOVICES'!$705:$705,'ALLAB INOVICES'!$706:$706,'ALLAB INOVICES'!$707:$707,'ALLAB INOVICES'!$708:$708,'ALLAB INOVICES'!$709:$709,'ALLAB INOVICES'!$710:$710,'ALLAB INOVICES'!$711:$711,'ALLAB INOVICES'!$712:$712,'ALLAB INOVICES'!$713:$713,'ALLAB INOVICES'!$714:$714,'ALLAB INOVICES'!$715:$715,'ALLAB INOVICES'!$716:$716</definedName>
    <definedName name="QB_DATA_5" localSheetId="7" hidden="1">'ALLAB INOVICES'!$30:$30,'ALLAB INOVICES'!$31:$31,'ALLAB INOVICES'!$32:$32,'ALLAB INOVICES'!$33:$33,'ALLAB INOVICES'!$34:$34,'ALLAB INOVICES'!$35:$35,'ALLAB INOVICES'!$36:$36,'ALLAB INOVICES'!$37:$37,'ALLAB INOVICES'!$38:$38,'ALLAB INOVICES'!#REF!,'ALLAB INOVICES'!#REF!,'ALLAB INOVICES'!#REF!,'ALLAB INOVICES'!#REF!,'ALLAB INOVICES'!#REF!,'ALLAB INOVICES'!$39:$39,'ALLAB INOVICES'!$40:$40</definedName>
    <definedName name="QB_DATA_50" localSheetId="7" hidden="1">'ALLAB INOVICES'!$717:$717,'ALLAB INOVICES'!$718:$718,'ALLAB INOVICES'!$719:$719,'ALLAB INOVICES'!$720:$720,'ALLAB INOVICES'!$721:$721,'ALLAB INOVICES'!$722:$722,'ALLAB INOVICES'!$723:$723,'ALLAB INOVICES'!$724:$724,'ALLAB INOVICES'!$725:$725,'ALLAB INOVICES'!$726:$726,'ALLAB INOVICES'!$727:$727,'ALLAB INOVICES'!$728:$728,'ALLAB INOVICES'!$729:$729,'ALLAB INOVICES'!$730:$730,'ALLAB INOVICES'!$731:$731,'ALLAB INOVICES'!$732:$732</definedName>
    <definedName name="QB_DATA_51" localSheetId="7" hidden="1">'ALLAB INOVICES'!$733:$733,'ALLAB INOVICES'!$734:$734,'ALLAB INOVICES'!$735:$735,'ALLAB INOVICES'!$736:$736,'ALLAB INOVICES'!$737:$737,'ALLAB INOVICES'!$738:$738,'ALLAB INOVICES'!$739:$739,'ALLAB INOVICES'!$740:$740,'ALLAB INOVICES'!$741:$741,'ALLAB INOVICES'!$742:$742,'ALLAB INOVICES'!$743:$743,'ALLAB INOVICES'!$744:$744,'ALLAB INOVICES'!$745:$745,'ALLAB INOVICES'!$746:$746,'ALLAB INOVICES'!$747:$747,'ALLAB INOVICES'!$748:$748</definedName>
    <definedName name="QB_DATA_52" localSheetId="7" hidden="1">'ALLAB INOVICES'!$749:$749,'ALLAB INOVICES'!$750:$750,'ALLAB INOVICES'!$751:$751,'ALLAB INOVICES'!$752:$752,'ALLAB INOVICES'!$753:$753,'ALLAB INOVICES'!$754:$754,'ALLAB INOVICES'!$755:$755,'ALLAB INOVICES'!$756:$756,'ALLAB INOVICES'!$757:$757,'ALLAB INOVICES'!$758:$758,'ALLAB INOVICES'!$759:$759,'ALLAB INOVICES'!$760:$760,'ALLAB INOVICES'!$761:$761,'ALLAB INOVICES'!$762:$762,'ALLAB INOVICES'!$763:$763,'ALLAB INOVICES'!$764:$764</definedName>
    <definedName name="QB_DATA_53" localSheetId="7" hidden="1">'ALLAB INOVICES'!$765:$765,'ALLAB INOVICES'!$766:$766,'ALLAB INOVICES'!$767:$767,'ALLAB INOVICES'!$768:$768,'ALLAB INOVICES'!$769:$769,'ALLAB INOVICES'!$770:$770,'ALLAB INOVICES'!$771:$771,'ALLAB INOVICES'!$772:$772,'ALLAB INOVICES'!$773:$773,'ALLAB INOVICES'!$774:$774,'ALLAB INOVICES'!$775:$775,'ALLAB INOVICES'!$776:$776,'ALLAB INOVICES'!$777:$777,'ALLAB INOVICES'!$778:$778,'ALLAB INOVICES'!$779:$779,'ALLAB INOVICES'!$780:$780</definedName>
    <definedName name="QB_DATA_54" localSheetId="7" hidden="1">'ALLAB INOVICES'!$781:$781,'ALLAB INOVICES'!$782:$782,'ALLAB INOVICES'!$783:$783,'ALLAB INOVICES'!$784:$784,'ALLAB INOVICES'!$785:$785,'ALLAB INOVICES'!#REF!</definedName>
    <definedName name="QB_DATA_6" localSheetId="7" hidden="1">'ALLAB INOVICES'!$41:$41,'ALLAB INOVICES'!$42:$42,'ALLAB INOVICES'!$43:$43,'ALLAB INOVICES'!$44:$44,'ALLAB INOVICES'!$45:$45,'ALLAB INOVICES'!$46:$46,'ALLAB INOVICES'!$47:$47,'ALLAB INOVICES'!$48:$48,'ALLAB INOVICES'!$49:$49,'ALLAB INOVICES'!$50:$50,'ALLAB INOVICES'!$51:$51,'ALLAB INOVICES'!#REF!,'ALLAB INOVICES'!#REF!,'ALLAB INOVICES'!#REF!,'ALLAB INOVICES'!#REF!,'ALLAB INOVICES'!#REF!</definedName>
    <definedName name="QB_DATA_7" localSheetId="7" hidden="1">'ALLAB INOVICES'!$52:$52,'ALLAB INOVICES'!$53:$53,'ALLAB INOVICES'!$54:$54,'ALLAB INOVICES'!$55:$55,'ALLAB INOVICES'!$56:$56,'ALLAB INOVICES'!#REF!,'ALLAB INOVICES'!$57:$57,'ALLAB INOVICES'!$58:$58,'ALLAB INOVICES'!$59:$59,'ALLAB INOVICES'!$60:$60,'ALLAB INOVICES'!$61:$61,'ALLAB INOVICES'!$62:$62,'ALLAB INOVICES'!$63:$63,'ALLAB INOVICES'!$64:$64,'ALLAB INOVICES'!$65:$65,'ALLAB INOVICES'!$66:$66</definedName>
    <definedName name="QB_DATA_8" localSheetId="7" hidden="1">'ALLAB INOVICES'!$67:$67,'ALLAB INOVICES'!$68:$68,'ALLAB INOVICES'!$69:$69,'ALLAB INOVICES'!$70:$70,'ALLAB INOVICES'!$71:$71,'ALLAB INOVICES'!$72:$72,'ALLAB INOVICES'!$73:$73,'ALLAB INOVICES'!$74:$74,'ALLAB INOVICES'!$75:$75,'ALLAB INOVICES'!#REF!,'ALLAB INOVICES'!#REF!,'ALLAB INOVICES'!#REF!,'ALLAB INOVICES'!#REF!,'ALLAB INOVICES'!#REF!,'ALLAB INOVICES'!$76:$76,'ALLAB INOVICES'!$77:$77</definedName>
    <definedName name="QB_DATA_9" localSheetId="7" hidden="1">'ALLAB INOVICES'!$78:$78,'ALLAB INOVICES'!$79:$79,'ALLAB INOVICES'!$80:$80,'ALLAB INOVICES'!$81:$81,'ALLAB INOVICES'!$82:$82,'ALLAB INOVICES'!$83:$83,'ALLAB INOVICES'!$84:$84,'ALLAB INOVICES'!$85:$85,'ALLAB INOVICES'!$86:$86,'ALLAB INOVICES'!$87:$87,'ALLAB INOVICES'!$88:$88,'ALLAB INOVICES'!$89:$89,'ALLAB INOVICES'!$90:$90,'ALLAB INOVICES'!$91:$91,'ALLAB INOVICES'!$92:$92,'ALLAB INOVICES'!$93:$93</definedName>
    <definedName name="QB_ROW_1115010" localSheetId="7" hidden="1">'ALLAB INOVICES'!#REF!</definedName>
  </definedNames>
  <calcPr calcId="191029"/>
  <pivotCaches>
    <pivotCache cacheId="57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Jobs" name="tblJobs" connection="WorksheetConnection_COMPANY DATABASE.xlsx!tblJobs"/>
          <x15:modelTable id="tblReoccupancy" name="tblReoccupancy" connection="WorksheetConnection_COMPANY DATABASE.xlsx!tblReoccupancy"/>
          <x15:modelTable id="tblLabs" name="tblLabs" connection="WorksheetConnection_COMPANY DATABASE.xlsx!tblLabs"/>
          <x15:modelTable id="tblPayroll" name="tblPayroll" connection="WorksheetConnection_COMPANY DATABASE.xlsx!tblPayroll"/>
          <x15:modelTable id="tblLabPrices" name="tblLabPrices" connection="WorksheetConnection_COMPANY DATABASE.xlsx!tblLabPrices"/>
        </x15:modelTables>
        <x15:modelRelationships>
          <x15:modelRelationship fromTable="tblReoccupancy" fromColumn="JOBID" toTable="tblJobs" toColumn="SAI FILE NO"/>
          <x15:modelRelationship fromTable="tblLabs" fromColumn="JOBID" toTable="tblJobs" toColumn="SAI FILE NO"/>
          <x15:modelRelationship fromTable="tblPayroll" fromColumn="JOBID" toTable="tblJobs" toColumn="SAI FILE N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 l="1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94" i="10"/>
  <c r="H103" i="10"/>
  <c r="H102" i="10"/>
  <c r="H101" i="10"/>
  <c r="H100" i="10"/>
  <c r="H99" i="10"/>
  <c r="H98" i="10"/>
  <c r="H97" i="10"/>
  <c r="H96" i="10"/>
  <c r="H95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 l="1"/>
  <c r="H30" i="10"/>
  <c r="H29" i="10"/>
  <c r="H28" i="10"/>
  <c r="H27" i="10"/>
  <c r="H26" i="10" l="1"/>
  <c r="H25" i="10"/>
  <c r="H24" i="10"/>
  <c r="H23" i="10"/>
  <c r="H22" i="10"/>
  <c r="H21" i="10"/>
  <c r="H20" i="10"/>
  <c r="H19" i="10"/>
  <c r="H16" i="10"/>
  <c r="H17" i="10"/>
  <c r="H18" i="10"/>
  <c r="H15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E8E282-5DC6-48EF-8338-FF2C3E1D671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CAA6022-4071-4261-838F-06086411E6C9}" name="WorksheetConnection_COMPANY DATABASE.xlsx!tblJobs" type="102" refreshedVersion="8" minRefreshableVersion="5">
    <extLst>
      <ext xmlns:x15="http://schemas.microsoft.com/office/spreadsheetml/2010/11/main" uri="{DE250136-89BD-433C-8126-D09CA5730AF9}">
        <x15:connection id="tblJobs">
          <x15:rangePr sourceName="_xlcn.WorksheetConnection_COMPANYDATABASE.xlsxtblJobs1"/>
        </x15:connection>
      </ext>
    </extLst>
  </connection>
  <connection id="3" xr16:uid="{B7D2E2BE-71F2-485F-800B-E9E53D540337}" name="WorksheetConnection_COMPANY DATABASE.xlsx!tblLabPrices" type="102" refreshedVersion="8" minRefreshableVersion="5">
    <extLst>
      <ext xmlns:x15="http://schemas.microsoft.com/office/spreadsheetml/2010/11/main" uri="{DE250136-89BD-433C-8126-D09CA5730AF9}">
        <x15:connection id="tblLabPrices">
          <x15:rangePr sourceName="_xlcn.WorksheetConnection_COMPANYDATABASE.xlsxtblLabPrices1"/>
        </x15:connection>
      </ext>
    </extLst>
  </connection>
  <connection id="4" xr16:uid="{9735B532-200B-4DBE-8F03-1797256400E4}" name="WorksheetConnection_COMPANY DATABASE.xlsx!tblLabs" type="102" refreshedVersion="8" minRefreshableVersion="5">
    <extLst>
      <ext xmlns:x15="http://schemas.microsoft.com/office/spreadsheetml/2010/11/main" uri="{DE250136-89BD-433C-8126-D09CA5730AF9}">
        <x15:connection id="tblLabs">
          <x15:rangePr sourceName="_xlcn.WorksheetConnection_COMPANYDATABASE.xlsxtblLabs1"/>
        </x15:connection>
      </ext>
    </extLst>
  </connection>
  <connection id="5" xr16:uid="{6F08C0D5-555C-4461-92EE-72D83FDAC9D5}" name="WorksheetConnection_COMPANY DATABASE.xlsx!tblPayroll" type="102" refreshedVersion="8" minRefreshableVersion="5">
    <extLst>
      <ext xmlns:x15="http://schemas.microsoft.com/office/spreadsheetml/2010/11/main" uri="{DE250136-89BD-433C-8126-D09CA5730AF9}">
        <x15:connection id="tblPayroll">
          <x15:rangePr sourceName="_xlcn.WorksheetConnection_COMPANYDATABASE.xlsxtblPayroll1"/>
        </x15:connection>
      </ext>
    </extLst>
  </connection>
  <connection id="6" xr16:uid="{EA03F8E3-E1A1-486E-9002-027E2A937773}" name="WorksheetConnection_COMPANY DATABASE.xlsx!tblReoccupancy" type="102" refreshedVersion="8" minRefreshableVersion="5">
    <extLst>
      <ext xmlns:x15="http://schemas.microsoft.com/office/spreadsheetml/2010/11/main" uri="{DE250136-89BD-433C-8126-D09CA5730AF9}">
        <x15:connection id="tblReoccupancy">
          <x15:rangePr sourceName="_xlcn.WorksheetConnection_COMPANYDATABASE.xlsxtblReoccupancy1"/>
        </x15:connection>
      </ext>
    </extLst>
  </connection>
</connections>
</file>

<file path=xl/sharedStrings.xml><?xml version="1.0" encoding="utf-8"?>
<sst xmlns="http://schemas.openxmlformats.org/spreadsheetml/2006/main" count="9273" uniqueCount="2615">
  <si>
    <t>BATCH NO</t>
  </si>
  <si>
    <t>SAMPLE TYPE</t>
  </si>
  <si>
    <t>DATE COLLECTED</t>
  </si>
  <si>
    <t>TECHNICIAN</t>
  </si>
  <si>
    <t>LOCATION</t>
  </si>
  <si>
    <t>COUNT</t>
  </si>
  <si>
    <t>23-08-284</t>
  </si>
  <si>
    <t>Joi Fei  Hung</t>
  </si>
  <si>
    <t>LTS</t>
  </si>
  <si>
    <t>RM 511, 507, STAIR 2</t>
  </si>
  <si>
    <t>23-08-287</t>
  </si>
  <si>
    <t>Leon Groysman</t>
  </si>
  <si>
    <t>RM 512, STAIR 5</t>
  </si>
  <si>
    <t>23-08-059</t>
  </si>
  <si>
    <t>TEM</t>
  </si>
  <si>
    <t>5 FL 502</t>
  </si>
  <si>
    <t>23-08-069</t>
  </si>
  <si>
    <t>5 FL 511, 512</t>
  </si>
  <si>
    <t>23-10-092</t>
  </si>
  <si>
    <t>RM 513B</t>
  </si>
  <si>
    <t>23-10-151</t>
  </si>
  <si>
    <t>23-10-152</t>
  </si>
  <si>
    <t>23-10-150</t>
  </si>
  <si>
    <t>23-10-025</t>
  </si>
  <si>
    <t>230812-5</t>
  </si>
  <si>
    <t>Igor Groysman</t>
  </si>
  <si>
    <t>ALLAB</t>
  </si>
  <si>
    <t>2ND FL 202, 203, STAIR 8</t>
  </si>
  <si>
    <t>230812-11</t>
  </si>
  <si>
    <t>3RD FL, STAIR 8</t>
  </si>
  <si>
    <t>230813-4</t>
  </si>
  <si>
    <t>3RD FL HALL, RM 309/308 312</t>
  </si>
  <si>
    <t>230813-2</t>
  </si>
  <si>
    <t>2ND FL, CLOSET RM 259</t>
  </si>
  <si>
    <t>230812-13</t>
  </si>
  <si>
    <t>230810-78</t>
  </si>
  <si>
    <t>2ND FL</t>
  </si>
  <si>
    <t>230812-12</t>
  </si>
  <si>
    <t>230812-10</t>
  </si>
  <si>
    <t>1ST FL, EXIT 6</t>
  </si>
  <si>
    <t>230812-6</t>
  </si>
  <si>
    <t>230812-3</t>
  </si>
  <si>
    <t>230813-6</t>
  </si>
  <si>
    <t>230813-1</t>
  </si>
  <si>
    <t>2ND FL, RM 259</t>
  </si>
  <si>
    <t>230812-8</t>
  </si>
  <si>
    <t>230813-3</t>
  </si>
  <si>
    <t>3RD FL</t>
  </si>
  <si>
    <t>230812-7</t>
  </si>
  <si>
    <t>230813-5</t>
  </si>
  <si>
    <t>BID</t>
  </si>
  <si>
    <t>JOBID</t>
  </si>
  <si>
    <t>23S-045</t>
  </si>
  <si>
    <t>M115</t>
  </si>
  <si>
    <t>7/23/023</t>
  </si>
  <si>
    <t>1st Fl Kitchen Staff Bath, Stair 6, 8</t>
  </si>
  <si>
    <t>4th Fl Stair #6, 8, 5th Fl Stair #2,4</t>
  </si>
  <si>
    <t>Hall by 502, 503, 504. 509, 511, Boy's Bath</t>
  </si>
  <si>
    <t>Flrs 1-3.5</t>
  </si>
  <si>
    <t>513B</t>
  </si>
  <si>
    <t>AMT_OF_ACM</t>
  </si>
  <si>
    <t>PLM</t>
  </si>
  <si>
    <t>Ricardo Vilchez</t>
  </si>
  <si>
    <t>B4-B7, B10, 110, 111, 106 &amp;108</t>
  </si>
  <si>
    <t>23-08-664</t>
  </si>
  <si>
    <t>RM 106, 108</t>
  </si>
  <si>
    <t>23-08-799</t>
  </si>
  <si>
    <t>23-08-800</t>
  </si>
  <si>
    <t>23-08-798</t>
  </si>
  <si>
    <t>23-08-172</t>
  </si>
  <si>
    <t>23-08-951</t>
  </si>
  <si>
    <t>Chi Fei Hung</t>
  </si>
  <si>
    <t>B10, B8, B7, B6, B4, B5, B3</t>
  </si>
  <si>
    <t>23-08-952</t>
  </si>
  <si>
    <t>23-08-995</t>
  </si>
  <si>
    <t>23-08-1069</t>
  </si>
  <si>
    <t>23-08-1068</t>
  </si>
  <si>
    <t>23-08-218</t>
  </si>
  <si>
    <t>23S-059</t>
  </si>
  <si>
    <t>X085</t>
  </si>
  <si>
    <t>EMPLOYEE_NAME</t>
  </si>
  <si>
    <t>CODE</t>
  </si>
  <si>
    <t>HOURLY_RATE</t>
  </si>
  <si>
    <t>WEEK_PAID</t>
  </si>
  <si>
    <t>DATE_WORKED</t>
  </si>
  <si>
    <t>HOURS_WORKED</t>
  </si>
  <si>
    <t>23S-004</t>
  </si>
  <si>
    <t>Q126</t>
  </si>
  <si>
    <t>Patricia Dros</t>
  </si>
  <si>
    <t>EXPENSES</t>
  </si>
  <si>
    <t>NA</t>
  </si>
  <si>
    <t>Joi Fei Hung</t>
  </si>
  <si>
    <t>23S-065</t>
  </si>
  <si>
    <t>23S-013</t>
  </si>
  <si>
    <t>X101</t>
  </si>
  <si>
    <t>23S-038</t>
  </si>
  <si>
    <t>X019</t>
  </si>
  <si>
    <t>23S-010</t>
  </si>
  <si>
    <t>Q221</t>
  </si>
  <si>
    <t>23S-002</t>
  </si>
  <si>
    <t>Q450</t>
  </si>
  <si>
    <t>22S-042</t>
  </si>
  <si>
    <t>Q192</t>
  </si>
  <si>
    <t>B3, B4/B6, B5, B7, B8, B10</t>
  </si>
  <si>
    <t>22S-069</t>
  </si>
  <si>
    <t>Q216</t>
  </si>
  <si>
    <t>23S-042</t>
  </si>
  <si>
    <t>K364</t>
  </si>
  <si>
    <t>23S-025</t>
  </si>
  <si>
    <t>X041</t>
  </si>
  <si>
    <t>23S-019</t>
  </si>
  <si>
    <t>M490</t>
  </si>
  <si>
    <t>23S-026</t>
  </si>
  <si>
    <t>Q223</t>
  </si>
  <si>
    <t>22S-050</t>
  </si>
  <si>
    <t>M164</t>
  </si>
  <si>
    <t>22S-033</t>
  </si>
  <si>
    <t>240823-15</t>
  </si>
  <si>
    <t>Soslan Lazarov</t>
  </si>
  <si>
    <t>RM 105</t>
  </si>
  <si>
    <t>240823-14</t>
  </si>
  <si>
    <t>RM106</t>
  </si>
  <si>
    <t>240824-7</t>
  </si>
  <si>
    <t>240824-8</t>
  </si>
  <si>
    <t>RM 206</t>
  </si>
  <si>
    <t>240825-1</t>
  </si>
  <si>
    <t>Aleksandr Tsvayg</t>
  </si>
  <si>
    <t>240825-3</t>
  </si>
  <si>
    <t>240824-9</t>
  </si>
  <si>
    <t>240825-2</t>
  </si>
  <si>
    <t>240824-6</t>
  </si>
  <si>
    <t>240825-4</t>
  </si>
  <si>
    <t>23S-138</t>
  </si>
  <si>
    <t>X039</t>
  </si>
  <si>
    <t>RM 105, 206</t>
  </si>
  <si>
    <t>24-08-181</t>
  </si>
  <si>
    <t>Tatiana Ciobanu</t>
  </si>
  <si>
    <t>RM 503, 505, 510, 511B</t>
  </si>
  <si>
    <t>24-08-184</t>
  </si>
  <si>
    <t>RM 510</t>
  </si>
  <si>
    <t>24-08-180</t>
  </si>
  <si>
    <t>24-08-241</t>
  </si>
  <si>
    <t>Cornel Albu</t>
  </si>
  <si>
    <t>RM 511B</t>
  </si>
  <si>
    <t>24-08-182</t>
  </si>
  <si>
    <t>24-08-239</t>
  </si>
  <si>
    <t>24-08-038</t>
  </si>
  <si>
    <t>24-08-269</t>
  </si>
  <si>
    <t>RM 503, 507</t>
  </si>
  <si>
    <t>24-08-240</t>
  </si>
  <si>
    <t>24-08-268</t>
  </si>
  <si>
    <t>RM 503, 505</t>
  </si>
  <si>
    <t>24-08-049</t>
  </si>
  <si>
    <t>24-08-305</t>
  </si>
  <si>
    <t>24-08-304</t>
  </si>
  <si>
    <t>RM 505, 503</t>
  </si>
  <si>
    <t>24-08-059</t>
  </si>
  <si>
    <t>24-08-414</t>
  </si>
  <si>
    <t>RM 402, 402B, 415B</t>
  </si>
  <si>
    <t>24-08-471</t>
  </si>
  <si>
    <t>RM 402, 402B</t>
  </si>
  <si>
    <t>24-08-472</t>
  </si>
  <si>
    <t>24-08-470</t>
  </si>
  <si>
    <t>24-08-087</t>
  </si>
  <si>
    <t>24-08-542</t>
  </si>
  <si>
    <t>RM 415B</t>
  </si>
  <si>
    <t>24-08-543</t>
  </si>
  <si>
    <t>24-08-541</t>
  </si>
  <si>
    <t>RM 412B, 415, 414B, 417, 411B</t>
  </si>
  <si>
    <t>24-08-102</t>
  </si>
  <si>
    <t>RM 415 B</t>
  </si>
  <si>
    <t>24-08-755</t>
  </si>
  <si>
    <t>RM 314, 319</t>
  </si>
  <si>
    <t>24-08-850</t>
  </si>
  <si>
    <t>RM 314</t>
  </si>
  <si>
    <t>24-08-851</t>
  </si>
  <si>
    <t>24-08-907</t>
  </si>
  <si>
    <t>RM 319</t>
  </si>
  <si>
    <t>24-08-852</t>
  </si>
  <si>
    <t>24-28-908</t>
  </si>
  <si>
    <t>24-08-906</t>
  </si>
  <si>
    <t>24-08-148</t>
  </si>
  <si>
    <t>24-08-142</t>
  </si>
  <si>
    <t>24-08-1249</t>
  </si>
  <si>
    <t>RM 212, 213</t>
  </si>
  <si>
    <t>24-08-1250</t>
  </si>
  <si>
    <t>RM 212</t>
  </si>
  <si>
    <t>24-08-1248</t>
  </si>
  <si>
    <t>24-08-1292</t>
  </si>
  <si>
    <t>RM 213</t>
  </si>
  <si>
    <t>24-08-1246</t>
  </si>
  <si>
    <t>24-08-1294</t>
  </si>
  <si>
    <t>24-08-1293</t>
  </si>
  <si>
    <t>24-08-200</t>
  </si>
  <si>
    <t>24-08-191</t>
  </si>
  <si>
    <t>23S-114</t>
  </si>
  <si>
    <t>X075</t>
  </si>
  <si>
    <t>RM 510, 511B</t>
  </si>
  <si>
    <t>RM 503. 505</t>
  </si>
  <si>
    <t>23-12-456</t>
  </si>
  <si>
    <t>RM 103A, 107</t>
  </si>
  <si>
    <t>23S-058</t>
  </si>
  <si>
    <t>23-12-533</t>
  </si>
  <si>
    <t>23-12-534</t>
  </si>
  <si>
    <t>23-12-535</t>
  </si>
  <si>
    <t>RM 103, 107</t>
  </si>
  <si>
    <t>23-10-457</t>
  </si>
  <si>
    <t>RM 401A</t>
  </si>
  <si>
    <t>23-10-494</t>
  </si>
  <si>
    <t>23-10-492</t>
  </si>
  <si>
    <t>23-10-493</t>
  </si>
  <si>
    <t>RM 123</t>
  </si>
  <si>
    <t>23-10-071</t>
  </si>
  <si>
    <t>23-10-072</t>
  </si>
  <si>
    <t>23-10-497</t>
  </si>
  <si>
    <t>23-10-496</t>
  </si>
  <si>
    <t>23-10-495</t>
  </si>
  <si>
    <t>23S-052</t>
  </si>
  <si>
    <t>X107</t>
  </si>
  <si>
    <t>RM 123, 401A</t>
  </si>
  <si>
    <t>24-08-183</t>
  </si>
  <si>
    <t>BSMNT W SIDE HALL</t>
  </si>
  <si>
    <t>240803-4</t>
  </si>
  <si>
    <t>240803-6</t>
  </si>
  <si>
    <t>240803-7</t>
  </si>
  <si>
    <t>24S-022</t>
  </si>
  <si>
    <t>M028</t>
  </si>
  <si>
    <t>PCB</t>
  </si>
  <si>
    <t>DIMITRI</t>
  </si>
  <si>
    <t>KAM</t>
  </si>
  <si>
    <t>RM 229, 231</t>
  </si>
  <si>
    <t>23-06-818</t>
  </si>
  <si>
    <t>RM 231</t>
  </si>
  <si>
    <t>23-07-023</t>
  </si>
  <si>
    <t>23-07-022</t>
  </si>
  <si>
    <t>23-07-057</t>
  </si>
  <si>
    <t>23-07-094</t>
  </si>
  <si>
    <t>FINALS</t>
  </si>
  <si>
    <t>23-07-019</t>
  </si>
  <si>
    <t>231210-4</t>
  </si>
  <si>
    <t>BTN 356 &amp; 358, 256 &amp; 258</t>
  </si>
  <si>
    <t>24-02-077</t>
  </si>
  <si>
    <t>RM 231, 229, 131</t>
  </si>
  <si>
    <t>K600</t>
  </si>
  <si>
    <t>22S-051</t>
  </si>
  <si>
    <t>23-11-591</t>
  </si>
  <si>
    <t>RM 301, 305, 306, 307, 308, 320, 311</t>
  </si>
  <si>
    <t>23-11-631</t>
  </si>
  <si>
    <t>RM 333, 334</t>
  </si>
  <si>
    <t>23-11-641</t>
  </si>
  <si>
    <t>RM 332, 333, 334</t>
  </si>
  <si>
    <t>23-11-082</t>
  </si>
  <si>
    <t>RM 332, 332, 334</t>
  </si>
  <si>
    <t>23-11-677</t>
  </si>
  <si>
    <t>23-12-280</t>
  </si>
  <si>
    <t>RM 312, 313, 319</t>
  </si>
  <si>
    <t>23-12-281</t>
  </si>
  <si>
    <t>23-12-319</t>
  </si>
  <si>
    <t>23-12-320</t>
  </si>
  <si>
    <t>23-12-692</t>
  </si>
  <si>
    <t>23-12-693</t>
  </si>
  <si>
    <t>23-12-691</t>
  </si>
  <si>
    <t>23-12-747</t>
  </si>
  <si>
    <t>23-12-748</t>
  </si>
  <si>
    <t>3RD FL CORRIDORN LANDING</t>
  </si>
  <si>
    <t>23-12-800</t>
  </si>
  <si>
    <t>RM 301 ~ 312, CORRIDOR, LANDING</t>
  </si>
  <si>
    <t>23-12-801</t>
  </si>
  <si>
    <t>23-12-137</t>
  </si>
  <si>
    <t>23-12-842</t>
  </si>
  <si>
    <t>RM 301, 306, 312</t>
  </si>
  <si>
    <t>32-12-844</t>
  </si>
  <si>
    <t>RM 303</t>
  </si>
  <si>
    <t>23-12-037</t>
  </si>
  <si>
    <t>24-07-15</t>
  </si>
  <si>
    <t>K335</t>
  </si>
  <si>
    <t>23S-075</t>
  </si>
  <si>
    <t xml:space="preserve">3rd Floor – Room, 332, 333, 334 </t>
  </si>
  <si>
    <t xml:space="preserve">3rd Floor – Room, 312, 313, 319 </t>
  </si>
  <si>
    <t xml:space="preserve">3rd Floor – Room, 303 </t>
  </si>
  <si>
    <t>3rd Floor – Room 301, 305, 306, 307, 308, 311, 320</t>
  </si>
  <si>
    <t>24-10-651</t>
  </si>
  <si>
    <t>RM 504</t>
  </si>
  <si>
    <t>24-10-707</t>
  </si>
  <si>
    <t>24-10-706</t>
  </si>
  <si>
    <t>24-10-705</t>
  </si>
  <si>
    <t>24-10-100</t>
  </si>
  <si>
    <t>24-11-390</t>
  </si>
  <si>
    <t>RM 408</t>
  </si>
  <si>
    <t>24-11-389</t>
  </si>
  <si>
    <t>RM 251</t>
  </si>
  <si>
    <t>24-11-434</t>
  </si>
  <si>
    <t>RM 118</t>
  </si>
  <si>
    <t>24-11-435</t>
  </si>
  <si>
    <t>24-11-436</t>
  </si>
  <si>
    <t>RM 408, 454</t>
  </si>
  <si>
    <t>24-11-438</t>
  </si>
  <si>
    <t>24-11-437</t>
  </si>
  <si>
    <t>24-11-439</t>
  </si>
  <si>
    <t>24-11-441</t>
  </si>
  <si>
    <t>24-11-440</t>
  </si>
  <si>
    <t>24-11-057</t>
  </si>
  <si>
    <t>24-11-058</t>
  </si>
  <si>
    <t>24S-055</t>
  </si>
  <si>
    <t>X065</t>
  </si>
  <si>
    <t>RM 118, 251, 408, 454</t>
  </si>
  <si>
    <t>23S-074</t>
  </si>
  <si>
    <t>R053</t>
  </si>
  <si>
    <t>240106-8</t>
  </si>
  <si>
    <t>RM 219, 225</t>
  </si>
  <si>
    <t>23-10-456</t>
  </si>
  <si>
    <t>2ND FL ROOMS</t>
  </si>
  <si>
    <t>23-10-500</t>
  </si>
  <si>
    <t>RM 201, 203</t>
  </si>
  <si>
    <t>23-10-075</t>
  </si>
  <si>
    <t>23-10-682</t>
  </si>
  <si>
    <t>RM 202, 204</t>
  </si>
  <si>
    <t>23-10-679</t>
  </si>
  <si>
    <t>23-10-097</t>
  </si>
  <si>
    <t>231111-6</t>
  </si>
  <si>
    <t>RM 206, 208, 208A</t>
  </si>
  <si>
    <t>231111-4</t>
  </si>
  <si>
    <t>231111-5</t>
  </si>
  <si>
    <t>231111-3</t>
  </si>
  <si>
    <t>231118-6</t>
  </si>
  <si>
    <t>RM 214, 220</t>
  </si>
  <si>
    <t>231118-5</t>
  </si>
  <si>
    <t>231118-4</t>
  </si>
  <si>
    <t>231118-26</t>
  </si>
  <si>
    <t>BSMNT CRAWL SPACE</t>
  </si>
  <si>
    <t>231118-27</t>
  </si>
  <si>
    <t>231118-8</t>
  </si>
  <si>
    <t>23-12-067</t>
  </si>
  <si>
    <t>RM 228, 234, 236</t>
  </si>
  <si>
    <t>23-12-068</t>
  </si>
  <si>
    <t>23-12-066</t>
  </si>
  <si>
    <t>23-12-009</t>
  </si>
  <si>
    <t>231209-7</t>
  </si>
  <si>
    <t>RM 205</t>
  </si>
  <si>
    <t>231209-6</t>
  </si>
  <si>
    <t>RM 223</t>
  </si>
  <si>
    <t>231209-8</t>
  </si>
  <si>
    <t>231209-2</t>
  </si>
  <si>
    <t>RM 235</t>
  </si>
  <si>
    <t>231209-1</t>
  </si>
  <si>
    <t>RM 205, 235</t>
  </si>
  <si>
    <t>231209-3</t>
  </si>
  <si>
    <t>RM 235, 205</t>
  </si>
  <si>
    <t>231209-9</t>
  </si>
  <si>
    <t>240106-7</t>
  </si>
  <si>
    <t>240106-3</t>
  </si>
  <si>
    <t>240106-2</t>
  </si>
  <si>
    <t>RM 206, 208, 208B</t>
  </si>
  <si>
    <t>RM 214, 220, BSMNT</t>
  </si>
  <si>
    <t>RM 101, 102, 103, 105, 106, 120, 124, 134</t>
  </si>
  <si>
    <t>23-10-032</t>
  </si>
  <si>
    <t>BULK</t>
  </si>
  <si>
    <t>2ND FL, 301, 302, 305</t>
  </si>
  <si>
    <t>231102-46</t>
  </si>
  <si>
    <t>3RD FL, 2ND FL</t>
  </si>
  <si>
    <t>23-11-092</t>
  </si>
  <si>
    <t>HALL BY RM 205 EXIT C</t>
  </si>
  <si>
    <t>23-11-090</t>
  </si>
  <si>
    <t>RM 303 (S, W, N, E),CORRIDOR BY 305, 303</t>
  </si>
  <si>
    <t>23-11-091</t>
  </si>
  <si>
    <t>EXIT C, RM 203</t>
  </si>
  <si>
    <t>23-11-089</t>
  </si>
  <si>
    <t xml:space="preserve">RM 303  </t>
  </si>
  <si>
    <t>23-11-087</t>
  </si>
  <si>
    <t>EXIT A, C, RM 202, 205</t>
  </si>
  <si>
    <t>23-11-088</t>
  </si>
  <si>
    <t>RM 303, 305</t>
  </si>
  <si>
    <t>23-11-276</t>
  </si>
  <si>
    <t>RM 301, 302</t>
  </si>
  <si>
    <t>23-11-277</t>
  </si>
  <si>
    <t>RM 302, 301</t>
  </si>
  <si>
    <t>23-11-275</t>
  </si>
  <si>
    <t>23-11-517</t>
  </si>
  <si>
    <t>RM 305, 306, 304, 301, 312</t>
  </si>
  <si>
    <t>23-11-518</t>
  </si>
  <si>
    <t>RM 305, 306, HALL</t>
  </si>
  <si>
    <t>23-11-516</t>
  </si>
  <si>
    <t>RM 305, 306</t>
  </si>
  <si>
    <t>23-11-064</t>
  </si>
  <si>
    <t>231123-22</t>
  </si>
  <si>
    <t>2ND FL HALL STAIR A, C, E, G</t>
  </si>
  <si>
    <t>231125-3</t>
  </si>
  <si>
    <t>231125-2</t>
  </si>
  <si>
    <t>231125-1</t>
  </si>
  <si>
    <t>23-12-071</t>
  </si>
  <si>
    <t>RM 312, HALL BY 308, 306, 305</t>
  </si>
  <si>
    <t>23-12-070</t>
  </si>
  <si>
    <t>RM 312, HALL BY 306, 312</t>
  </si>
  <si>
    <t>23-12-10</t>
  </si>
  <si>
    <t>RM 312, 308, 306, 305</t>
  </si>
  <si>
    <t>23-12-069</t>
  </si>
  <si>
    <t>RM 312, HALL 308, 306, 305</t>
  </si>
  <si>
    <t>2nd Fl Corridor</t>
  </si>
  <si>
    <t>3rd Fl Rm 303</t>
  </si>
  <si>
    <t>3rd Fl Rm 301, 302</t>
  </si>
  <si>
    <t>3rd Fl Rm 305, 306</t>
  </si>
  <si>
    <t>2nd Fl Corridor, Landings, A, C, G, E &amp; Principal's Office</t>
  </si>
  <si>
    <t>3rd Fl Asst Principal Office, Rm 312</t>
  </si>
  <si>
    <t>23S-087</t>
  </si>
  <si>
    <t>K110</t>
  </si>
  <si>
    <t>Q059</t>
  </si>
  <si>
    <t>22S-081</t>
  </si>
  <si>
    <t>X843</t>
  </si>
  <si>
    <t>22S-072</t>
  </si>
  <si>
    <t>K127</t>
  </si>
  <si>
    <t>22S-025</t>
  </si>
  <si>
    <t>Q112</t>
  </si>
  <si>
    <t>22S-018</t>
  </si>
  <si>
    <t>M137</t>
  </si>
  <si>
    <t>Shalva Saghashvili</t>
  </si>
  <si>
    <t>22S-021</t>
  </si>
  <si>
    <t>21S-102</t>
  </si>
  <si>
    <t>K061</t>
  </si>
  <si>
    <t>22S-038</t>
  </si>
  <si>
    <t>22S-085</t>
  </si>
  <si>
    <t>22S-083</t>
  </si>
  <si>
    <t>K163</t>
  </si>
  <si>
    <t>22S-044</t>
  </si>
  <si>
    <t>Q801</t>
  </si>
  <si>
    <t>22S-043</t>
  </si>
  <si>
    <t>M098</t>
  </si>
  <si>
    <t>22S-068</t>
  </si>
  <si>
    <t>22S-045</t>
  </si>
  <si>
    <t>M435</t>
  </si>
  <si>
    <t>22S-064</t>
  </si>
  <si>
    <t>22S-027</t>
  </si>
  <si>
    <t>K055</t>
  </si>
  <si>
    <t>23S-072</t>
  </si>
  <si>
    <t>23S-106</t>
  </si>
  <si>
    <t>K018</t>
  </si>
  <si>
    <t>22S-067</t>
  </si>
  <si>
    <t>R005</t>
  </si>
  <si>
    <t>K250</t>
  </si>
  <si>
    <t>K287</t>
  </si>
  <si>
    <t>K224</t>
  </si>
  <si>
    <t>K244</t>
  </si>
  <si>
    <t>K233</t>
  </si>
  <si>
    <t>23S-073</t>
  </si>
  <si>
    <t>RM 209</t>
  </si>
  <si>
    <t>FL 1-3, LANDING OF STAIR B</t>
  </si>
  <si>
    <t>Q022</t>
  </si>
  <si>
    <t>24-10-790</t>
  </si>
  <si>
    <t>24-11-006</t>
  </si>
  <si>
    <t>24-11-005</t>
  </si>
  <si>
    <t>24-11-048</t>
  </si>
  <si>
    <t>24-11-047</t>
  </si>
  <si>
    <t>24-11-189</t>
  </si>
  <si>
    <t>STAIR B</t>
  </si>
  <si>
    <t>24-11-251</t>
  </si>
  <si>
    <t>24-11-252</t>
  </si>
  <si>
    <t>24-11-250</t>
  </si>
  <si>
    <t>24-11-013</t>
  </si>
  <si>
    <t>24-11-034</t>
  </si>
  <si>
    <t>Q205</t>
  </si>
  <si>
    <t>23-05-193</t>
  </si>
  <si>
    <t>23-05-257</t>
  </si>
  <si>
    <t>23-05-258</t>
  </si>
  <si>
    <t>23-05-287</t>
  </si>
  <si>
    <t>23-05-288</t>
  </si>
  <si>
    <t>23-05-050</t>
  </si>
  <si>
    <t>VASILI</t>
  </si>
  <si>
    <t>PLM-NOB</t>
  </si>
  <si>
    <t>TEM-NOB</t>
  </si>
  <si>
    <t>217068-1</t>
  </si>
  <si>
    <t>23-09-121</t>
  </si>
  <si>
    <t>LEAD WIPES</t>
  </si>
  <si>
    <t>23-06-562</t>
  </si>
  <si>
    <t>RM 329, 331, 333</t>
  </si>
  <si>
    <t>RM 329, 331, 333, 122, BSMT, CELLAR</t>
  </si>
  <si>
    <t>23S-006</t>
  </si>
  <si>
    <t>RM 322, 222, 122</t>
  </si>
  <si>
    <t>23S-103</t>
  </si>
  <si>
    <t>Q165</t>
  </si>
  <si>
    <t xml:space="preserve">3rd Floor – Room 325 &amp; 327 </t>
  </si>
  <si>
    <t xml:space="preserve">3rd Floor – Room 333 </t>
  </si>
  <si>
    <t xml:space="preserve">3rd Floor – Room 332 &amp; 334 </t>
  </si>
  <si>
    <t xml:space="preserve">3rd Floor – Room 301 </t>
  </si>
  <si>
    <t xml:space="preserve">3rd Floor – Room 320 </t>
  </si>
  <si>
    <t>3rd Floor – Room 305</t>
  </si>
  <si>
    <t xml:space="preserve">3rd Floor – Room 314, 316 </t>
  </si>
  <si>
    <t xml:space="preserve">3rd Floor – Room 313 </t>
  </si>
  <si>
    <t xml:space="preserve">1st Floor – Room 113 </t>
  </si>
  <si>
    <t xml:space="preserve">2nd Floor – Room 213, 214, 220 </t>
  </si>
  <si>
    <t>RM 220</t>
  </si>
  <si>
    <t xml:space="preserve">2nd Floor – Room 215 </t>
  </si>
  <si>
    <t xml:space="preserve">2nd Floor – Room 200, 222 </t>
  </si>
  <si>
    <t xml:space="preserve">2nd Floor – Room 201, 203 </t>
  </si>
  <si>
    <t xml:space="preserve">2nd Floor – Room 202, 205 </t>
  </si>
  <si>
    <t xml:space="preserve">2nd Floor – Room 225, 226 </t>
  </si>
  <si>
    <t xml:space="preserve">2nd Floor – Room 213 </t>
  </si>
  <si>
    <t>2nd Floor – Room 234</t>
  </si>
  <si>
    <t>2nd Floor – Room 228, 233</t>
  </si>
  <si>
    <t>1st Floor – Room 101, 103</t>
  </si>
  <si>
    <t>1st Floor – Room 105, 107</t>
  </si>
  <si>
    <t>1st Floor – Room 111, 114</t>
  </si>
  <si>
    <t>24-09-091</t>
  </si>
  <si>
    <t>24-09-153</t>
  </si>
  <si>
    <t>24-09-152</t>
  </si>
  <si>
    <t>24-09-154</t>
  </si>
  <si>
    <t>24-09-021</t>
  </si>
  <si>
    <t>24-09-399</t>
  </si>
  <si>
    <t>3rd Floor – Room 333</t>
  </si>
  <si>
    <t>24-09-400</t>
  </si>
  <si>
    <t>24-09-398</t>
  </si>
  <si>
    <t>24-09-048</t>
  </si>
  <si>
    <t>24-10-208</t>
  </si>
  <si>
    <t>24-10-206</t>
  </si>
  <si>
    <t>24-10-207</t>
  </si>
  <si>
    <t>24-10-042</t>
  </si>
  <si>
    <t>24-10-364</t>
  </si>
  <si>
    <t>3rd Floor – Room 301</t>
  </si>
  <si>
    <t>24-10-363</t>
  </si>
  <si>
    <t>24-10-362</t>
  </si>
  <si>
    <t>24-10-061</t>
  </si>
  <si>
    <t>24-10-542</t>
  </si>
  <si>
    <t>24-10-540</t>
  </si>
  <si>
    <t>24-10-541</t>
  </si>
  <si>
    <t>24-10-080</t>
  </si>
  <si>
    <t>24-10-703</t>
  </si>
  <si>
    <t>24-10-704</t>
  </si>
  <si>
    <t>24-10-702</t>
  </si>
  <si>
    <t>24-10-099</t>
  </si>
  <si>
    <t>241116-10</t>
  </si>
  <si>
    <t>RM 314, 316</t>
  </si>
  <si>
    <t>241116-11</t>
  </si>
  <si>
    <t>241116-1C</t>
  </si>
  <si>
    <t>24-11-603</t>
  </si>
  <si>
    <t>24-11-605</t>
  </si>
  <si>
    <t>24-11-604</t>
  </si>
  <si>
    <t>24-11-071</t>
  </si>
  <si>
    <t>24-12-068</t>
  </si>
  <si>
    <t>RM 101, 102, 103, 112, 114</t>
  </si>
  <si>
    <t>24-12-125</t>
  </si>
  <si>
    <t>24-12-126</t>
  </si>
  <si>
    <t>24-12-127</t>
  </si>
  <si>
    <t>24-12-008</t>
  </si>
  <si>
    <t>24-12-705</t>
  </si>
  <si>
    <t>24-12-706</t>
  </si>
  <si>
    <t>2nd Floor – Room 214, 216</t>
  </si>
  <si>
    <t>24-12-707</t>
  </si>
  <si>
    <t>24-12-072</t>
  </si>
  <si>
    <t>2ND FL - RM 220</t>
  </si>
  <si>
    <t>24-12-065</t>
  </si>
  <si>
    <t>24-12-704</t>
  </si>
  <si>
    <t>24-12-751</t>
  </si>
  <si>
    <t>24-12-752</t>
  </si>
  <si>
    <t>24-12-753</t>
  </si>
  <si>
    <t>25-01-231</t>
  </si>
  <si>
    <t>25-01-232</t>
  </si>
  <si>
    <t>25-01-020</t>
  </si>
  <si>
    <t>25-01-233</t>
  </si>
  <si>
    <t>25-01-408</t>
  </si>
  <si>
    <t>2nd Floor – Room 200</t>
  </si>
  <si>
    <t>25-01-409</t>
  </si>
  <si>
    <t>25-01-036</t>
  </si>
  <si>
    <t>25-01-042</t>
  </si>
  <si>
    <t xml:space="preserve">2nd Floor – Room 222 </t>
  </si>
  <si>
    <t>25-01-443</t>
  </si>
  <si>
    <t>25-01-444</t>
  </si>
  <si>
    <t>25-01-410</t>
  </si>
  <si>
    <t>25-01-445</t>
  </si>
  <si>
    <t>25-02-033</t>
  </si>
  <si>
    <t>2nd Floor – Room 201, 203</t>
  </si>
  <si>
    <t>25-02-034</t>
  </si>
  <si>
    <t>25-02-035</t>
  </si>
  <si>
    <t>25-02-005</t>
  </si>
  <si>
    <t>25-02-630</t>
  </si>
  <si>
    <t>RM 202, 205</t>
  </si>
  <si>
    <t>25-02-631</t>
  </si>
  <si>
    <t>25-02-632</t>
  </si>
  <si>
    <t>25-02-083</t>
  </si>
  <si>
    <t>25-03-021</t>
  </si>
  <si>
    <t>RM 225, 226</t>
  </si>
  <si>
    <t>25-03-020</t>
  </si>
  <si>
    <t>25-03-019</t>
  </si>
  <si>
    <t>25-03-005</t>
  </si>
  <si>
    <t>25-03-462</t>
  </si>
  <si>
    <t>25-03-461</t>
  </si>
  <si>
    <t>25-03-460</t>
  </si>
  <si>
    <t>25-03-058</t>
  </si>
  <si>
    <t>25-04-186</t>
  </si>
  <si>
    <t>RM 234</t>
  </si>
  <si>
    <t>25-04-187</t>
  </si>
  <si>
    <t>25-04-015</t>
  </si>
  <si>
    <t>25-04-185</t>
  </si>
  <si>
    <t>25-04-369</t>
  </si>
  <si>
    <t>RM 228</t>
  </si>
  <si>
    <t>25-04-370</t>
  </si>
  <si>
    <t>25-04-460</t>
  </si>
  <si>
    <t>RM 233</t>
  </si>
  <si>
    <t>25-04-459</t>
  </si>
  <si>
    <t>25-04-371</t>
  </si>
  <si>
    <t>25-04-461</t>
  </si>
  <si>
    <t>25-04-025</t>
  </si>
  <si>
    <t>25-04-041</t>
  </si>
  <si>
    <t>25-05-080</t>
  </si>
  <si>
    <t>RM 101, 103</t>
  </si>
  <si>
    <t>25-05-082</t>
  </si>
  <si>
    <t>25-05-081</t>
  </si>
  <si>
    <t>25-05-007</t>
  </si>
  <si>
    <t>25-05-083</t>
  </si>
  <si>
    <t>25-05-792</t>
  </si>
  <si>
    <t>RM 107, 105</t>
  </si>
  <si>
    <t>25-05-791</t>
  </si>
  <si>
    <t>25-05-048</t>
  </si>
  <si>
    <t>25-05-793</t>
  </si>
  <si>
    <t>25-05-1013</t>
  </si>
  <si>
    <t>RM 114</t>
  </si>
  <si>
    <t>25-05-1011</t>
  </si>
  <si>
    <t>25-06-027</t>
  </si>
  <si>
    <t>RM 111</t>
  </si>
  <si>
    <t>25-06-029</t>
  </si>
  <si>
    <t>25-05-1012</t>
  </si>
  <si>
    <t>05-06-028</t>
  </si>
  <si>
    <t>25-06-004</t>
  </si>
  <si>
    <t>25-05-070</t>
  </si>
  <si>
    <t>25-06-495</t>
  </si>
  <si>
    <t>RM 102</t>
  </si>
  <si>
    <t>25-06-496</t>
  </si>
  <si>
    <t>25-06-497</t>
  </si>
  <si>
    <t>25-06-040</t>
  </si>
  <si>
    <t>23-11-042</t>
  </si>
  <si>
    <t>23-11-016</t>
  </si>
  <si>
    <t>23-11-015</t>
  </si>
  <si>
    <t>NOTE</t>
  </si>
  <si>
    <t>NL</t>
  </si>
  <si>
    <t>X401</t>
  </si>
  <si>
    <t>X470</t>
  </si>
  <si>
    <t>START_DATE</t>
  </si>
  <si>
    <t>END_DATE</t>
  </si>
  <si>
    <t>215550-0</t>
  </si>
  <si>
    <t>24S-007</t>
  </si>
  <si>
    <t>K261</t>
  </si>
  <si>
    <t>BSMNT 8A, B9A</t>
  </si>
  <si>
    <t>24-05-727</t>
  </si>
  <si>
    <t>24-05-800</t>
  </si>
  <si>
    <t>24-05-799</t>
  </si>
  <si>
    <t>24-05-801</t>
  </si>
  <si>
    <t>24-05-058</t>
  </si>
  <si>
    <t>24-06-590</t>
  </si>
  <si>
    <t>24-06-609</t>
  </si>
  <si>
    <t>24-06-610</t>
  </si>
  <si>
    <t>24-06-009</t>
  </si>
  <si>
    <t>24-06-694</t>
  </si>
  <si>
    <t>24-06-082</t>
  </si>
  <si>
    <t>241228-14</t>
  </si>
  <si>
    <t>RM 116</t>
  </si>
  <si>
    <t>BSMNT B9A</t>
  </si>
  <si>
    <t>SLIDE PREP</t>
  </si>
  <si>
    <t>250413-5</t>
  </si>
  <si>
    <t>250413-3</t>
  </si>
  <si>
    <t>250413-4</t>
  </si>
  <si>
    <t>250413-2</t>
  </si>
  <si>
    <t>250413-1</t>
  </si>
  <si>
    <t>250524-1</t>
  </si>
  <si>
    <t>250601-1</t>
  </si>
  <si>
    <t>250524-2</t>
  </si>
  <si>
    <t>CELLAR LCKR RMS</t>
  </si>
  <si>
    <t>BSMNT B9</t>
  </si>
  <si>
    <t>BSMNT BOYS LOCKER</t>
  </si>
  <si>
    <t>BSMNT B8, B9</t>
  </si>
  <si>
    <t>23S-110</t>
  </si>
  <si>
    <t>24-08-796</t>
  </si>
  <si>
    <t>Marina Ablitsova</t>
  </si>
  <si>
    <t>RM 303, 304, 311, 341, 343</t>
  </si>
  <si>
    <t>104175-0</t>
  </si>
  <si>
    <t>104176-0</t>
  </si>
  <si>
    <t>RM 353, 303, 342</t>
  </si>
  <si>
    <t>104177-0</t>
  </si>
  <si>
    <t>127686 A</t>
  </si>
  <si>
    <t>RM 304</t>
  </si>
  <si>
    <t>24-08-1218</t>
  </si>
  <si>
    <t>RM 311</t>
  </si>
  <si>
    <t>24-08-1219</t>
  </si>
  <si>
    <t>24-08-1221</t>
  </si>
  <si>
    <t>24-08-1222</t>
  </si>
  <si>
    <t>RM 341</t>
  </si>
  <si>
    <t>24-08-1223</t>
  </si>
  <si>
    <t>24-08-1220</t>
  </si>
  <si>
    <t>24-08-1224</t>
  </si>
  <si>
    <t>24-08-187</t>
  </si>
  <si>
    <t>24-08-188</t>
  </si>
  <si>
    <t>241207-2</t>
  </si>
  <si>
    <t>RM 343</t>
  </si>
  <si>
    <t>241207-1</t>
  </si>
  <si>
    <t>241207-3</t>
  </si>
  <si>
    <t>241214-6</t>
  </si>
  <si>
    <t>241214-7</t>
  </si>
  <si>
    <t>RM 342</t>
  </si>
  <si>
    <t>241214-8</t>
  </si>
  <si>
    <t>241214-9</t>
  </si>
  <si>
    <t>241214-10</t>
  </si>
  <si>
    <t>241214-11</t>
  </si>
  <si>
    <t>241214-12</t>
  </si>
  <si>
    <t>241214-5</t>
  </si>
  <si>
    <t>ATC</t>
  </si>
  <si>
    <t>RM 303, 304, 311, 342, 343</t>
  </si>
  <si>
    <t>Room 304</t>
  </si>
  <si>
    <t>Room 311 &amp; 341</t>
  </si>
  <si>
    <t>Room 343</t>
  </si>
  <si>
    <t>Room 303, 342</t>
  </si>
  <si>
    <t>24S-006</t>
  </si>
  <si>
    <t>M192</t>
  </si>
  <si>
    <t>105310-0</t>
  </si>
  <si>
    <t>Zviadi Nebieridze</t>
  </si>
  <si>
    <t>3RD FL CORR - STAIR A, B, C</t>
  </si>
  <si>
    <t>105312-0</t>
  </si>
  <si>
    <t>105311-0</t>
  </si>
  <si>
    <t>105327-0</t>
  </si>
  <si>
    <t>105326-0</t>
  </si>
  <si>
    <t>127926-0</t>
  </si>
  <si>
    <t>25-04-400</t>
  </si>
  <si>
    <t>105511-0</t>
  </si>
  <si>
    <t>EXIT 7</t>
  </si>
  <si>
    <t>105512-0</t>
  </si>
  <si>
    <t>105513-0</t>
  </si>
  <si>
    <t>105510-0</t>
  </si>
  <si>
    <t>127980-0</t>
  </si>
  <si>
    <t>3RD FL LANDING STAIR A, B, C</t>
  </si>
  <si>
    <t>1ST FL EXIT 7</t>
  </si>
  <si>
    <t>CELLAR LCKR RMS - CIP</t>
  </si>
  <si>
    <t>BSMNT B9 - CIP</t>
  </si>
  <si>
    <t>25-02-190</t>
  </si>
  <si>
    <t>BSMNT B8</t>
  </si>
  <si>
    <t>Date</t>
  </si>
  <si>
    <t>Num</t>
  </si>
  <si>
    <t>Memo</t>
  </si>
  <si>
    <t>Amount</t>
  </si>
  <si>
    <t>210113-30</t>
  </si>
  <si>
    <t>710 Riverside Drive NY</t>
  </si>
  <si>
    <t>210126-19</t>
  </si>
  <si>
    <t>26-42 169th Street, Flushing NY</t>
  </si>
  <si>
    <t>210218-1</t>
  </si>
  <si>
    <t>4790 Broadway NY</t>
  </si>
  <si>
    <t>210414-51</t>
  </si>
  <si>
    <t>133 East 80th Street</t>
  </si>
  <si>
    <t>210520-11</t>
  </si>
  <si>
    <t>127 Manhattan Avenue New York, NY</t>
  </si>
  <si>
    <t>210626-14</t>
  </si>
  <si>
    <t>5 Quincy Street Brooklyn, NY</t>
  </si>
  <si>
    <t>210630-29</t>
  </si>
  <si>
    <t>191 Joralemon Street Brookly, NY</t>
  </si>
  <si>
    <t>210702-24</t>
  </si>
  <si>
    <t>191 Joralemon Street, Brooklyn</t>
  </si>
  <si>
    <t>210702-25</t>
  </si>
  <si>
    <t>27-24 Jackson Avenue Queens</t>
  </si>
  <si>
    <t>210702-26</t>
  </si>
  <si>
    <t>72 Spring Street</t>
  </si>
  <si>
    <t>210702-27</t>
  </si>
  <si>
    <t>210702-28</t>
  </si>
  <si>
    <t>25-36 21st Street Queens, NY</t>
  </si>
  <si>
    <t>210706-14</t>
  </si>
  <si>
    <t>191 Joralemon Street Brooklyn</t>
  </si>
  <si>
    <t>210718-1</t>
  </si>
  <si>
    <t>761 44th Street Brooklyn</t>
  </si>
  <si>
    <t>210726-23</t>
  </si>
  <si>
    <t>43-25 Hunter Street LIC</t>
  </si>
  <si>
    <t>210726-25</t>
  </si>
  <si>
    <t>43-25 Hunter Street</t>
  </si>
  <si>
    <t>210728-18</t>
  </si>
  <si>
    <t>210728-19</t>
  </si>
  <si>
    <t>Client</t>
  </si>
  <si>
    <t>210806-21</t>
  </si>
  <si>
    <t>16 West 1221th Street</t>
  </si>
  <si>
    <t>210806-22</t>
  </si>
  <si>
    <t>210817-1</t>
  </si>
  <si>
    <t>646 5th Avenue</t>
  </si>
  <si>
    <t>210827-7</t>
  </si>
  <si>
    <t>150 Joralemon</t>
  </si>
  <si>
    <t>210827-8</t>
  </si>
  <si>
    <t>210904-7</t>
  </si>
  <si>
    <t>10-77 Lorimer Street</t>
  </si>
  <si>
    <t>210911-19</t>
  </si>
  <si>
    <t>60 Gramercy Park</t>
  </si>
  <si>
    <t>210923-14</t>
  </si>
  <si>
    <t>39-43 24th Street</t>
  </si>
  <si>
    <t>210923-15</t>
  </si>
  <si>
    <t>210927-10</t>
  </si>
  <si>
    <t>10-77 Dominer Street</t>
  </si>
  <si>
    <t>210928-27</t>
  </si>
  <si>
    <t>122 E 25th Street</t>
  </si>
  <si>
    <t>211004-33</t>
  </si>
  <si>
    <t>551 Myrtle Avenue</t>
  </si>
  <si>
    <t>211004-34</t>
  </si>
  <si>
    <t>710 Riverside Drive</t>
  </si>
  <si>
    <t>211020-43</t>
  </si>
  <si>
    <t>628 Broadway</t>
  </si>
  <si>
    <t>211004-44</t>
  </si>
  <si>
    <t>682 Broadway</t>
  </si>
  <si>
    <t>211020-45</t>
  </si>
  <si>
    <t>339 East 59th Street</t>
  </si>
  <si>
    <t>211029-7</t>
  </si>
  <si>
    <t>416 Thatford Avenue</t>
  </si>
  <si>
    <t>211119-25</t>
  </si>
  <si>
    <t>211126-20</t>
  </si>
  <si>
    <t>47-02 67th Street</t>
  </si>
  <si>
    <t>211204-14</t>
  </si>
  <si>
    <t>1330 5th Avenue</t>
  </si>
  <si>
    <t>211204-17</t>
  </si>
  <si>
    <t>152 Sherman Avenue</t>
  </si>
  <si>
    <t>211204-18</t>
  </si>
  <si>
    <t>211204-19</t>
  </si>
  <si>
    <t>211204-20</t>
  </si>
  <si>
    <t>211204-21</t>
  </si>
  <si>
    <t>211204-22</t>
  </si>
  <si>
    <t>1774 Dahill Road</t>
  </si>
  <si>
    <t>211204-32</t>
  </si>
  <si>
    <t>211206-29</t>
  </si>
  <si>
    <t>102 E 116th Street</t>
  </si>
  <si>
    <t>211206-30</t>
  </si>
  <si>
    <t>211206-31</t>
  </si>
  <si>
    <t>211211-2</t>
  </si>
  <si>
    <t>19-64 80th Street</t>
  </si>
  <si>
    <t>211206-32</t>
  </si>
  <si>
    <t>211227-13</t>
  </si>
  <si>
    <t>220111-29,30,31</t>
  </si>
  <si>
    <t>2006 Benson Avenue</t>
  </si>
  <si>
    <t>220115-4</t>
  </si>
  <si>
    <t>122 East 25th Street</t>
  </si>
  <si>
    <t>211126-19</t>
  </si>
  <si>
    <t>210128-10</t>
  </si>
  <si>
    <t>22 Wooster Street</t>
  </si>
  <si>
    <t>220211-13</t>
  </si>
  <si>
    <t>8523 Fort Hamilton Parkway</t>
  </si>
  <si>
    <t>220211-14</t>
  </si>
  <si>
    <t>220226-13</t>
  </si>
  <si>
    <t>220226-15</t>
  </si>
  <si>
    <t>26-11 Jackson Avenue</t>
  </si>
  <si>
    <t>220216-14</t>
  </si>
  <si>
    <t>220310-16</t>
  </si>
  <si>
    <t>33-63 55th Street</t>
  </si>
  <si>
    <t>220413-17</t>
  </si>
  <si>
    <t>862 Carroll Street</t>
  </si>
  <si>
    <t>220418-12</t>
  </si>
  <si>
    <t>6 Hubert Street</t>
  </si>
  <si>
    <t>220418-14</t>
  </si>
  <si>
    <t>2948 Richmond Avenue</t>
  </si>
  <si>
    <t>220422-14</t>
  </si>
  <si>
    <t>278 Vanderbilt Avenue</t>
  </si>
  <si>
    <t>220430-19</t>
  </si>
  <si>
    <t>147 Browning Avenue</t>
  </si>
  <si>
    <t>220421-7</t>
  </si>
  <si>
    <t>201 Bay Street</t>
  </si>
  <si>
    <t>220421-8</t>
  </si>
  <si>
    <t>205 Bay Street</t>
  </si>
  <si>
    <t>220506-2</t>
  </si>
  <si>
    <t>813 Roosevelt Queens</t>
  </si>
  <si>
    <t>220511-4</t>
  </si>
  <si>
    <t>640 Jarvis Queens</t>
  </si>
  <si>
    <t>220515-6</t>
  </si>
  <si>
    <t>145 Miles Avenue</t>
  </si>
  <si>
    <t>220519-24</t>
  </si>
  <si>
    <t>350 West 59th Street</t>
  </si>
  <si>
    <t>220524-51</t>
  </si>
  <si>
    <t>791 Park Avenue</t>
  </si>
  <si>
    <t>220524-52</t>
  </si>
  <si>
    <t>220615-10</t>
  </si>
  <si>
    <t>220615-18</t>
  </si>
  <si>
    <t>52-56 73rd Street</t>
  </si>
  <si>
    <t>220708-9</t>
  </si>
  <si>
    <t>510 East 86th Street</t>
  </si>
  <si>
    <t>220715-1</t>
  </si>
  <si>
    <t>232 Barlow Avenue</t>
  </si>
  <si>
    <t>220715-32</t>
  </si>
  <si>
    <t>220720-24</t>
  </si>
  <si>
    <t>27-20 Jackson Avenue</t>
  </si>
  <si>
    <t>220720-25</t>
  </si>
  <si>
    <t>43-01 Dutch Kills Street</t>
  </si>
  <si>
    <t>220720-37</t>
  </si>
  <si>
    <t>4108 Victory Boulevard</t>
  </si>
  <si>
    <t>220723-1</t>
  </si>
  <si>
    <t>220723-2</t>
  </si>
  <si>
    <t>220723-3</t>
  </si>
  <si>
    <t>220723-4</t>
  </si>
  <si>
    <t>220723-5</t>
  </si>
  <si>
    <t>220723-6</t>
  </si>
  <si>
    <t>220723-7</t>
  </si>
  <si>
    <t>220723-8</t>
  </si>
  <si>
    <t>220724-1</t>
  </si>
  <si>
    <t>220724-2</t>
  </si>
  <si>
    <t>220724-3</t>
  </si>
  <si>
    <t>220724-4</t>
  </si>
  <si>
    <t>220724-5</t>
  </si>
  <si>
    <t>220724-6</t>
  </si>
  <si>
    <t>220724-7</t>
  </si>
  <si>
    <t>220724-8</t>
  </si>
  <si>
    <t>220725-4</t>
  </si>
  <si>
    <t>220725-5</t>
  </si>
  <si>
    <t>220725-6</t>
  </si>
  <si>
    <t>220725-7</t>
  </si>
  <si>
    <t>220725-32</t>
  </si>
  <si>
    <t>220725-33</t>
  </si>
  <si>
    <t>220725-34</t>
  </si>
  <si>
    <t>220725-35</t>
  </si>
  <si>
    <t>220727-35</t>
  </si>
  <si>
    <t>220730-12</t>
  </si>
  <si>
    <t>220730-13</t>
  </si>
  <si>
    <t>220730-14</t>
  </si>
  <si>
    <t>109 Sherman Avenue</t>
  </si>
  <si>
    <t>220730-15</t>
  </si>
  <si>
    <t>220806-1</t>
  </si>
  <si>
    <t>156-10 Baisley Boulevard</t>
  </si>
  <si>
    <t>220806-2</t>
  </si>
  <si>
    <t>220911-1</t>
  </si>
  <si>
    <t>2601 Halperin Avenue</t>
  </si>
  <si>
    <t>220918-3</t>
  </si>
  <si>
    <t>36-10 31st Street</t>
  </si>
  <si>
    <t>220918-4</t>
  </si>
  <si>
    <t>22-66 46th Street</t>
  </si>
  <si>
    <t>220928-55</t>
  </si>
  <si>
    <t>597 Hudson Street</t>
  </si>
  <si>
    <t>221012-11</t>
  </si>
  <si>
    <t>43-12 Hunter Street</t>
  </si>
  <si>
    <t>221019-52</t>
  </si>
  <si>
    <t>54 Irving Place</t>
  </si>
  <si>
    <t>221019-50</t>
  </si>
  <si>
    <t>221019-51</t>
  </si>
  <si>
    <t>221019-53</t>
  </si>
  <si>
    <t>125 East 17th Street</t>
  </si>
  <si>
    <t>221019-54</t>
  </si>
  <si>
    <t>221019-55</t>
  </si>
  <si>
    <t>221019-56</t>
  </si>
  <si>
    <t>221019-57</t>
  </si>
  <si>
    <t>221019-58</t>
  </si>
  <si>
    <t>221019-59</t>
  </si>
  <si>
    <t>221019-60</t>
  </si>
  <si>
    <t>221029-7</t>
  </si>
  <si>
    <t>221111-1</t>
  </si>
  <si>
    <t>400 Empire Boulevard</t>
  </si>
  <si>
    <t>221111-2</t>
  </si>
  <si>
    <t>221118-33</t>
  </si>
  <si>
    <t>48-02 25th Avenue</t>
  </si>
  <si>
    <t>221118-34</t>
  </si>
  <si>
    <t>230122-1</t>
  </si>
  <si>
    <t>26-15 Jackson Ave, Queens - January</t>
  </si>
  <si>
    <t>230122-2</t>
  </si>
  <si>
    <t>230122-3</t>
  </si>
  <si>
    <t>230128-12</t>
  </si>
  <si>
    <t>480 86th Avenue, Brooklyn - January</t>
  </si>
  <si>
    <t>230128-13</t>
  </si>
  <si>
    <t>230225-21</t>
  </si>
  <si>
    <t>15 Maiden Lane, NY - February</t>
  </si>
  <si>
    <t>230225-20</t>
  </si>
  <si>
    <t>230601-57</t>
  </si>
  <si>
    <t>411 Pearl Street - JUNE</t>
  </si>
  <si>
    <t>230609-30</t>
  </si>
  <si>
    <t>161 West 13th Street - JUNE</t>
  </si>
  <si>
    <t>230609-31</t>
  </si>
  <si>
    <t>230609-32</t>
  </si>
  <si>
    <t>230609-33</t>
  </si>
  <si>
    <t>230609-34</t>
  </si>
  <si>
    <t>230609-35</t>
  </si>
  <si>
    <t>230628-45</t>
  </si>
  <si>
    <t>45 Lispendard Street - JUNE</t>
  </si>
  <si>
    <t>230225-22</t>
  </si>
  <si>
    <t>15 Maiden Lane, NY, NY - MARCH</t>
  </si>
  <si>
    <t>230324-4</t>
  </si>
  <si>
    <t>220 Marine Avenue, Brooklyn - MARCH</t>
  </si>
  <si>
    <t>230325-14</t>
  </si>
  <si>
    <t>31 W 74 Street NY, NY - MARCH</t>
  </si>
  <si>
    <t>230401-20</t>
  </si>
  <si>
    <t>21-16 44 Road, Queens, NY - MARCH</t>
  </si>
  <si>
    <t>230426-22</t>
  </si>
  <si>
    <t>1662 Cropsey Avenue - MARCH</t>
  </si>
  <si>
    <t>230420-52</t>
  </si>
  <si>
    <t>19 Berkshire Road, Taghkanic - MARCH</t>
  </si>
  <si>
    <t>230426-19</t>
  </si>
  <si>
    <t>25-18 Broadway, Queens - MARCH</t>
  </si>
  <si>
    <t>230704-11</t>
  </si>
  <si>
    <t>20-22 36 Street, Queens - JULY</t>
  </si>
  <si>
    <t>230704-12</t>
  </si>
  <si>
    <t>230704-13</t>
  </si>
  <si>
    <t>230713-28</t>
  </si>
  <si>
    <t>27-07 BQE West, Queens - JULY</t>
  </si>
  <si>
    <t>230713-29</t>
  </si>
  <si>
    <t>230720-56</t>
  </si>
  <si>
    <t>586 West 177 Street, NY, NY - JULY</t>
  </si>
  <si>
    <t>230722-6</t>
  </si>
  <si>
    <t>230722-7</t>
  </si>
  <si>
    <t>230722-8</t>
  </si>
  <si>
    <t>230722-9</t>
  </si>
  <si>
    <t>230723-1</t>
  </si>
  <si>
    <t>230723-3</t>
  </si>
  <si>
    <t>230723-4</t>
  </si>
  <si>
    <t>230727-25</t>
  </si>
  <si>
    <t>838 Nostrand Ave, Brooklyn - JULY</t>
  </si>
  <si>
    <t>230727-29</t>
  </si>
  <si>
    <t>61-21 37th Ave, Queens - JULY</t>
  </si>
  <si>
    <t>230730-4</t>
  </si>
  <si>
    <t>125-20 Sutphin Blvd, Queens - JULY</t>
  </si>
  <si>
    <t>230730-12</t>
  </si>
  <si>
    <t>230504-45</t>
  </si>
  <si>
    <t>35-49 Steinway Street - MAY</t>
  </si>
  <si>
    <t>230517-15</t>
  </si>
  <si>
    <t>230526-51</t>
  </si>
  <si>
    <t>2750 Lafayette Ave., Bronx - MAY</t>
  </si>
  <si>
    <t>230528-11</t>
  </si>
  <si>
    <t>230528-12</t>
  </si>
  <si>
    <t>230528-13</t>
  </si>
  <si>
    <t>230528-14</t>
  </si>
  <si>
    <t>230528-15</t>
  </si>
  <si>
    <t>230529-1</t>
  </si>
  <si>
    <t>230529-2</t>
  </si>
  <si>
    <t>230529-3</t>
  </si>
  <si>
    <t>230529-4</t>
  </si>
  <si>
    <t>230801-59</t>
  </si>
  <si>
    <t>348 Desis St., Staten Island - JULY</t>
  </si>
  <si>
    <t>230801-60</t>
  </si>
  <si>
    <t>230801-61</t>
  </si>
  <si>
    <t>230804-3</t>
  </si>
  <si>
    <t>230804-4</t>
  </si>
  <si>
    <t>230804-5</t>
  </si>
  <si>
    <t>230804-6</t>
  </si>
  <si>
    <t>230804-7</t>
  </si>
  <si>
    <t>230804-8</t>
  </si>
  <si>
    <t>230804-9</t>
  </si>
  <si>
    <t>230804-10</t>
  </si>
  <si>
    <t>230804-11</t>
  </si>
  <si>
    <t>348 Deisius St., Staten Island - JULY</t>
  </si>
  <si>
    <t>230804-12</t>
  </si>
  <si>
    <t>230803-70</t>
  </si>
  <si>
    <t>5800 20 Ave., Brooklyn - JULY</t>
  </si>
  <si>
    <t>230805-1</t>
  </si>
  <si>
    <t>230805-2</t>
  </si>
  <si>
    <t>230805-12</t>
  </si>
  <si>
    <t>230805-13</t>
  </si>
  <si>
    <t>230805-14</t>
  </si>
  <si>
    <t>230805-15</t>
  </si>
  <si>
    <t>230805-16</t>
  </si>
  <si>
    <t>230805-20</t>
  </si>
  <si>
    <t>230805-42</t>
  </si>
  <si>
    <t>220 Marine Ave., Brooklyn - JULY</t>
  </si>
  <si>
    <t>230810-25</t>
  </si>
  <si>
    <t>72 Spring St., NY - JULY</t>
  </si>
  <si>
    <t>230810-54</t>
  </si>
  <si>
    <t>147-36 26th Ave, Queens - JULY</t>
  </si>
  <si>
    <t>230810-55</t>
  </si>
  <si>
    <t>230810-56</t>
  </si>
  <si>
    <t>586 West 177 St., NY - JULY</t>
  </si>
  <si>
    <t>230811-1</t>
  </si>
  <si>
    <t>35 Starr St., Brooklyn - JULY</t>
  </si>
  <si>
    <t>230812-14</t>
  </si>
  <si>
    <t>35 Starr Street - JULY</t>
  </si>
  <si>
    <t>230812-15</t>
  </si>
  <si>
    <t>230812-16</t>
  </si>
  <si>
    <t>230812-17</t>
  </si>
  <si>
    <t>230813-25</t>
  </si>
  <si>
    <t>230816-38</t>
  </si>
  <si>
    <t>230817-29</t>
  </si>
  <si>
    <t>21 West 88 St, NY - JULY</t>
  </si>
  <si>
    <t>230817-30</t>
  </si>
  <si>
    <t>17 West 88 St, NY - JULY</t>
  </si>
  <si>
    <t>230817-36</t>
  </si>
  <si>
    <t>241 West 23 St, NY - JULY</t>
  </si>
  <si>
    <t>230822-17</t>
  </si>
  <si>
    <t>15 Maiden Lane, NY - JULY</t>
  </si>
  <si>
    <t>230822-18</t>
  </si>
  <si>
    <t>230821-41</t>
  </si>
  <si>
    <t>230823-59</t>
  </si>
  <si>
    <t>230824-29</t>
  </si>
  <si>
    <t>230825-58</t>
  </si>
  <si>
    <t>230826-21</t>
  </si>
  <si>
    <t>230830-52</t>
  </si>
  <si>
    <t>230824-55</t>
  </si>
  <si>
    <t>230828-40</t>
  </si>
  <si>
    <t>230829-56</t>
  </si>
  <si>
    <t>230830-54</t>
  </si>
  <si>
    <t>230831-39</t>
  </si>
  <si>
    <t>21-12 30th Road, Queens - JULY</t>
  </si>
  <si>
    <t>230831-40</t>
  </si>
  <si>
    <t>230831-41</t>
  </si>
  <si>
    <t>230831-42</t>
  </si>
  <si>
    <t>930902-4</t>
  </si>
  <si>
    <t>91 Henderson Ave, SI, NY</t>
  </si>
  <si>
    <t>230902-5</t>
  </si>
  <si>
    <t>230903-5</t>
  </si>
  <si>
    <t>21-21 30th Drive, Queens</t>
  </si>
  <si>
    <t>230903-6</t>
  </si>
  <si>
    <t>230903-7</t>
  </si>
  <si>
    <t>230903-8</t>
  </si>
  <si>
    <t>230903-9</t>
  </si>
  <si>
    <t>230904-1</t>
  </si>
  <si>
    <t>28-01 41st Ave, Queens</t>
  </si>
  <si>
    <t>230904-2</t>
  </si>
  <si>
    <t>230904-3</t>
  </si>
  <si>
    <t>230904-4</t>
  </si>
  <si>
    <t>230906-48</t>
  </si>
  <si>
    <t>123 Ridge St.</t>
  </si>
  <si>
    <t>230907-40</t>
  </si>
  <si>
    <t>125-10 23rd Ave,</t>
  </si>
  <si>
    <t>230907-41</t>
  </si>
  <si>
    <t>85-05 144th St., Queens</t>
  </si>
  <si>
    <t>230907-42</t>
  </si>
  <si>
    <t>230907-43</t>
  </si>
  <si>
    <t>12-12 30th Dr., Queens</t>
  </si>
  <si>
    <t>230907-44</t>
  </si>
  <si>
    <t>230916-1</t>
  </si>
  <si>
    <t>191-02 90th Ave., Queens</t>
  </si>
  <si>
    <t>230916-2</t>
  </si>
  <si>
    <t>230916-3</t>
  </si>
  <si>
    <t>230916-4</t>
  </si>
  <si>
    <t>230926-30</t>
  </si>
  <si>
    <t>521 East Tremont Ave., Bronx</t>
  </si>
  <si>
    <t>230926-31</t>
  </si>
  <si>
    <t>230926-32</t>
  </si>
  <si>
    <t>230926-33</t>
  </si>
  <si>
    <t>230926-34</t>
  </si>
  <si>
    <t>230926-35</t>
  </si>
  <si>
    <t>230926-36</t>
  </si>
  <si>
    <t>230926-37</t>
  </si>
  <si>
    <t>230926-38</t>
  </si>
  <si>
    <t>230926-39</t>
  </si>
  <si>
    <t>230926-40</t>
  </si>
  <si>
    <t>230926-41</t>
  </si>
  <si>
    <t>231001-7</t>
  </si>
  <si>
    <t>100 Thompkins Ave., SI, NY</t>
  </si>
  <si>
    <t>231001-8</t>
  </si>
  <si>
    <t>231002-25</t>
  </si>
  <si>
    <t>1139 Fulton St., Brooklyn, NY</t>
  </si>
  <si>
    <t>231002-26</t>
  </si>
  <si>
    <t>231002-26(1)</t>
  </si>
  <si>
    <t>140 Palma Drive, SI, NY</t>
  </si>
  <si>
    <t>231007-14</t>
  </si>
  <si>
    <t>511 E. Tremont Ave., Bronx</t>
  </si>
  <si>
    <t>231007-15</t>
  </si>
  <si>
    <t>521 E. Tremont Ave., Bronx</t>
  </si>
  <si>
    <t>231007-16</t>
  </si>
  <si>
    <t>521 Tremont Ave, Bronx, NY</t>
  </si>
  <si>
    <t>231007-17</t>
  </si>
  <si>
    <t>325 South 3rd Ave., Brooklyn, NY</t>
  </si>
  <si>
    <t>231007-18</t>
  </si>
  <si>
    <t>110 E. 88th St., NY, NY</t>
  </si>
  <si>
    <t>231008-6</t>
  </si>
  <si>
    <t>140 Palma Dr., SI, NY</t>
  </si>
  <si>
    <t>231008-7</t>
  </si>
  <si>
    <t>231008-8</t>
  </si>
  <si>
    <t>231008-9</t>
  </si>
  <si>
    <t>231010-31</t>
  </si>
  <si>
    <t>231014-1</t>
  </si>
  <si>
    <t>231014-2</t>
  </si>
  <si>
    <t>200 Adelaide Ave., SI, NY</t>
  </si>
  <si>
    <t>231014-3</t>
  </si>
  <si>
    <t>231014-4</t>
  </si>
  <si>
    <t>231014-5</t>
  </si>
  <si>
    <t>231014-6</t>
  </si>
  <si>
    <t>231021-1</t>
  </si>
  <si>
    <t>145 West 84th St., NY, NY</t>
  </si>
  <si>
    <t>231021-2</t>
  </si>
  <si>
    <t>145 West 84th St, NY, NY</t>
  </si>
  <si>
    <t>231026-18</t>
  </si>
  <si>
    <t>1077 Remsen Ave., Brooklyn, NY</t>
  </si>
  <si>
    <t>231026-19</t>
  </si>
  <si>
    <t>231028-7</t>
  </si>
  <si>
    <t>54 Osborne St., SI, NY</t>
  </si>
  <si>
    <t>231028-8</t>
  </si>
  <si>
    <t>231028-9</t>
  </si>
  <si>
    <t>231028-10</t>
  </si>
  <si>
    <t>231028-11</t>
  </si>
  <si>
    <t>231102-9</t>
  </si>
  <si>
    <t>145 W 84th Street</t>
  </si>
  <si>
    <t>124 Monitor St, Brooklyn, NY</t>
  </si>
  <si>
    <t>231106-25</t>
  </si>
  <si>
    <t>18 West 76th Street, NY, NY</t>
  </si>
  <si>
    <t>231106-26</t>
  </si>
  <si>
    <t>231106-27</t>
  </si>
  <si>
    <t>231106-29</t>
  </si>
  <si>
    <t>231106-28</t>
  </si>
  <si>
    <t>113 Division Street, NY, NY</t>
  </si>
  <si>
    <t>231108-39</t>
  </si>
  <si>
    <t>72 Spring Street, NY, NY</t>
  </si>
  <si>
    <t>330 Durant Ave, SI, NY</t>
  </si>
  <si>
    <t>231111-26</t>
  </si>
  <si>
    <t>231111-27</t>
  </si>
  <si>
    <t>231123-21</t>
  </si>
  <si>
    <t>124 Monitor Street, Brooklyn, NY</t>
  </si>
  <si>
    <t>231126-12</t>
  </si>
  <si>
    <t>465 New Dorpin, SI, NY</t>
  </si>
  <si>
    <t>231126-13</t>
  </si>
  <si>
    <t>330 Durant Ave., SI, NY</t>
  </si>
  <si>
    <t>231209-4</t>
  </si>
  <si>
    <t>231209-5</t>
  </si>
  <si>
    <t>231222-58</t>
  </si>
  <si>
    <t>231226-31</t>
  </si>
  <si>
    <t>231226-32</t>
  </si>
  <si>
    <t>231229-9</t>
  </si>
  <si>
    <t>231227-10</t>
  </si>
  <si>
    <t>231227-41</t>
  </si>
  <si>
    <t>231227-42</t>
  </si>
  <si>
    <t>231228-8</t>
  </si>
  <si>
    <t>231228-9</t>
  </si>
  <si>
    <t>231229-1</t>
  </si>
  <si>
    <t>231229-2</t>
  </si>
  <si>
    <t>231229-3</t>
  </si>
  <si>
    <t>231229-4</t>
  </si>
  <si>
    <t>231207-80</t>
  </si>
  <si>
    <t>323 South 3rd St., Brooklyn, NY</t>
  </si>
  <si>
    <t>231208-61</t>
  </si>
  <si>
    <t>400 1st Avenue, NY, NY</t>
  </si>
  <si>
    <t>901 Classon Ave., Brooklyn, NY</t>
  </si>
  <si>
    <t>231213-20</t>
  </si>
  <si>
    <t>101 Warren Street, SI, NY</t>
  </si>
  <si>
    <t>231214-71</t>
  </si>
  <si>
    <t>1664 Benson Ave., Brooklyn, NY</t>
  </si>
  <si>
    <t>231217-14</t>
  </si>
  <si>
    <t>2750 Lafayette Avenue, Bronx, NY</t>
  </si>
  <si>
    <t>231220-3</t>
  </si>
  <si>
    <t>231221-35</t>
  </si>
  <si>
    <t>1860 Forest Avenue, NY, NY</t>
  </si>
  <si>
    <t>231222-45</t>
  </si>
  <si>
    <t>231230-36</t>
  </si>
  <si>
    <t>108 Montorose Ave., Brooklyn, NY</t>
  </si>
  <si>
    <t>231219-40</t>
  </si>
  <si>
    <t>400 Davenport Avenue, New Rochelle</t>
  </si>
  <si>
    <t>240113-26</t>
  </si>
  <si>
    <t>145 W 84th St., NY, NY</t>
  </si>
  <si>
    <t>240130-21</t>
  </si>
  <si>
    <t>230902-4</t>
  </si>
  <si>
    <t>240221-41</t>
  </si>
  <si>
    <t>1601 80th Street, Brooklyn</t>
  </si>
  <si>
    <t>240221-40</t>
  </si>
  <si>
    <t>240221-39</t>
  </si>
  <si>
    <t>240302-3</t>
  </si>
  <si>
    <t>333 Midland Avenue, SI, NY</t>
  </si>
  <si>
    <t>240302-15</t>
  </si>
  <si>
    <t>240322-44</t>
  </si>
  <si>
    <t>26-11 Jackson Avenue, Queens, NY</t>
  </si>
  <si>
    <t>240322-45</t>
  </si>
  <si>
    <t>240404-56</t>
  </si>
  <si>
    <t>2021 Bergen Street, Brooklyn, NY</t>
  </si>
  <si>
    <t>240404-6</t>
  </si>
  <si>
    <t>240406-6</t>
  </si>
  <si>
    <t>240406-7</t>
  </si>
  <si>
    <t>240406-9</t>
  </si>
  <si>
    <t>240406-10</t>
  </si>
  <si>
    <t>240406-11</t>
  </si>
  <si>
    <t>240406-12</t>
  </si>
  <si>
    <t>240406-13</t>
  </si>
  <si>
    <t>240406-14</t>
  </si>
  <si>
    <t>240411-52</t>
  </si>
  <si>
    <t>25 Brighton 4th Road, Brooklyn, NY</t>
  </si>
  <si>
    <t>240413-8</t>
  </si>
  <si>
    <t>240413-9</t>
  </si>
  <si>
    <t>240413-10</t>
  </si>
  <si>
    <t>240413-11</t>
  </si>
  <si>
    <t>240413-12</t>
  </si>
  <si>
    <t>240413-13</t>
  </si>
  <si>
    <t>240420-3</t>
  </si>
  <si>
    <t>240420-4</t>
  </si>
  <si>
    <t>240420-5</t>
  </si>
  <si>
    <t>240420-6</t>
  </si>
  <si>
    <t>240418-43</t>
  </si>
  <si>
    <t>455 Huguenot Avenue, SI, NY</t>
  </si>
  <si>
    <t>240425-44</t>
  </si>
  <si>
    <t>23-63 Stemway Street, Queens, NY</t>
  </si>
  <si>
    <t>240425-45</t>
  </si>
  <si>
    <t>240425-46</t>
  </si>
  <si>
    <t>240425-47</t>
  </si>
  <si>
    <t>240425-48</t>
  </si>
  <si>
    <t>240425-49</t>
  </si>
  <si>
    <t>240425-50</t>
  </si>
  <si>
    <t>240508-22</t>
  </si>
  <si>
    <t>750 Ocean Avenue, Brooklyn, NY</t>
  </si>
  <si>
    <t>240521-8</t>
  </si>
  <si>
    <t>200 East 76th Street</t>
  </si>
  <si>
    <t>240521-12</t>
  </si>
  <si>
    <t>240527-2</t>
  </si>
  <si>
    <t>240608-1</t>
  </si>
  <si>
    <t>800 Gates Avenue, Brooklyn, NY</t>
  </si>
  <si>
    <t>240608-2</t>
  </si>
  <si>
    <t>240608-21</t>
  </si>
  <si>
    <t>240611-44</t>
  </si>
  <si>
    <t>145-93 9th Ave, Whitestone, NY</t>
  </si>
  <si>
    <t>240619-47</t>
  </si>
  <si>
    <t>730 Bryant Avenue, Bronx, NY</t>
  </si>
  <si>
    <t>240619-54</t>
  </si>
  <si>
    <t>240619-55</t>
  </si>
  <si>
    <t>750 Classon Avenue, Brooklyn, NY</t>
  </si>
  <si>
    <t>240619-56</t>
  </si>
  <si>
    <t>72 Spring Street, NYC</t>
  </si>
  <si>
    <t>240619-57</t>
  </si>
  <si>
    <t>240622-23</t>
  </si>
  <si>
    <t>138-11 35th Ave., Queens, NY</t>
  </si>
  <si>
    <t>240630-1</t>
  </si>
  <si>
    <t>26-11 Jackson Ave., Queens, NY</t>
  </si>
  <si>
    <t>240630-2</t>
  </si>
  <si>
    <t>240630-3</t>
  </si>
  <si>
    <t>240630-4</t>
  </si>
  <si>
    <t>240630-37</t>
  </si>
  <si>
    <t>26-15 Jackson Ave., Queens, NY</t>
  </si>
  <si>
    <t>240707-1</t>
  </si>
  <si>
    <t>410 East 57th Street, NY, NY</t>
  </si>
  <si>
    <t>240707-2</t>
  </si>
  <si>
    <t>240716-41</t>
  </si>
  <si>
    <t>110 East 88th Street, NY, NY - PROJ# 9018799</t>
  </si>
  <si>
    <t>240724-46</t>
  </si>
  <si>
    <t>348 Deisius Street, SI, NY - PROJ# 22S-067</t>
  </si>
  <si>
    <t>240725-39</t>
  </si>
  <si>
    <t>240727-4</t>
  </si>
  <si>
    <t>300 Richmond Terrace, SI, NY - PROJ# 243065</t>
  </si>
  <si>
    <t>240727-3</t>
  </si>
  <si>
    <t>240727-5</t>
  </si>
  <si>
    <t>240727-6</t>
  </si>
  <si>
    <t>240730-47</t>
  </si>
  <si>
    <t>240725-32</t>
  </si>
  <si>
    <t>24-58 37th Street, Astoria, NY</t>
  </si>
  <si>
    <t>240801-60</t>
  </si>
  <si>
    <t>510 Clermont Ave, Brooklyn, NY</t>
  </si>
  <si>
    <t>Project #24S-022</t>
  </si>
  <si>
    <t>240803-5</t>
  </si>
  <si>
    <t>240803-39</t>
  </si>
  <si>
    <t>72-39 Juno St., Forest Hills, NY</t>
  </si>
  <si>
    <t>240803-40</t>
  </si>
  <si>
    <t>240805-33</t>
  </si>
  <si>
    <t>179-37 137th Avenue, Queens, NY</t>
  </si>
  <si>
    <t>240811-1</t>
  </si>
  <si>
    <t>Project #24S-077</t>
  </si>
  <si>
    <t>240811-10</t>
  </si>
  <si>
    <t>Project #24S-069</t>
  </si>
  <si>
    <t>240814-30</t>
  </si>
  <si>
    <t>Project #24S-074</t>
  </si>
  <si>
    <t>240811-2</t>
  </si>
  <si>
    <t>240811-11</t>
  </si>
  <si>
    <t>240811-12</t>
  </si>
  <si>
    <t>240815-75</t>
  </si>
  <si>
    <t>Project #24S-017</t>
  </si>
  <si>
    <t>240816-98</t>
  </si>
  <si>
    <t>240816-99</t>
  </si>
  <si>
    <t>240817-22</t>
  </si>
  <si>
    <t>240817-23</t>
  </si>
  <si>
    <t>240817-42</t>
  </si>
  <si>
    <t>240819-23</t>
  </si>
  <si>
    <t>Project #23S-132</t>
  </si>
  <si>
    <t>240820-1</t>
  </si>
  <si>
    <t>240820-2</t>
  </si>
  <si>
    <t>240820-3</t>
  </si>
  <si>
    <t>240818-6</t>
  </si>
  <si>
    <t>240820-51</t>
  </si>
  <si>
    <t>Project #24S-086</t>
  </si>
  <si>
    <t>240820-52</t>
  </si>
  <si>
    <t>Project #24S-072</t>
  </si>
  <si>
    <t>240820-53</t>
  </si>
  <si>
    <t>240820-66</t>
  </si>
  <si>
    <t>240821-64</t>
  </si>
  <si>
    <t>Project #24S-087</t>
  </si>
  <si>
    <t>240821-65</t>
  </si>
  <si>
    <t>208 N 5th St., Brooklyn, NY</t>
  </si>
  <si>
    <t>240821-66</t>
  </si>
  <si>
    <t>240821-67</t>
  </si>
  <si>
    <t>240820-67</t>
  </si>
  <si>
    <t>240822-30</t>
  </si>
  <si>
    <t>240822-43</t>
  </si>
  <si>
    <t>240821-92</t>
  </si>
  <si>
    <t>240822-59</t>
  </si>
  <si>
    <t>Project #23S-138</t>
  </si>
  <si>
    <t>240824-1</t>
  </si>
  <si>
    <t>240824-2</t>
  </si>
  <si>
    <t>240824-3</t>
  </si>
  <si>
    <t>72 Veronica Pl., Brooklyn, NY</t>
  </si>
  <si>
    <t>Project #23S-128</t>
  </si>
  <si>
    <t>240824-17</t>
  </si>
  <si>
    <t>Project #24S-063</t>
  </si>
  <si>
    <t>240824-19</t>
  </si>
  <si>
    <t>240824-20</t>
  </si>
  <si>
    <t>240824-36</t>
  </si>
  <si>
    <t>Project #23S-079</t>
  </si>
  <si>
    <t>240824-37</t>
  </si>
  <si>
    <t>240824-38</t>
  </si>
  <si>
    <t>240822-31</t>
  </si>
  <si>
    <t>240826-37</t>
  </si>
  <si>
    <t>240827-58</t>
  </si>
  <si>
    <t>240828-76</t>
  </si>
  <si>
    <t>240831-4</t>
  </si>
  <si>
    <t>Project #24S-080</t>
  </si>
  <si>
    <t>240831-5</t>
  </si>
  <si>
    <t>240831-6</t>
  </si>
  <si>
    <t>240901-8</t>
  </si>
  <si>
    <t>240901-9</t>
  </si>
  <si>
    <t>240929-8</t>
  </si>
  <si>
    <t>Project #24S-062</t>
  </si>
  <si>
    <t>240903-28</t>
  </si>
  <si>
    <t>240904-35</t>
  </si>
  <si>
    <t>240905-78</t>
  </si>
  <si>
    <t>240905-104</t>
  </si>
  <si>
    <t>Project #24S-089</t>
  </si>
  <si>
    <t>240906-67</t>
  </si>
  <si>
    <t>240907-1</t>
  </si>
  <si>
    <t>240907-4</t>
  </si>
  <si>
    <t>240907-5</t>
  </si>
  <si>
    <t>240907-6</t>
  </si>
  <si>
    <t>240907-26</t>
  </si>
  <si>
    <t>240907-27</t>
  </si>
  <si>
    <t>Project #24S-090</t>
  </si>
  <si>
    <t>240908-6</t>
  </si>
  <si>
    <t>Project #24S-091</t>
  </si>
  <si>
    <t>240908-8</t>
  </si>
  <si>
    <t>240910-67</t>
  </si>
  <si>
    <t>240911-40</t>
  </si>
  <si>
    <t>240911-41</t>
  </si>
  <si>
    <t>240911-42</t>
  </si>
  <si>
    <t>240911-46</t>
  </si>
  <si>
    <t>PROJ# 23S-132</t>
  </si>
  <si>
    <t>240912-55</t>
  </si>
  <si>
    <t>240913-56</t>
  </si>
  <si>
    <t>240914-30</t>
  </si>
  <si>
    <t>PROJ# 24S-094</t>
  </si>
  <si>
    <t>240915-2</t>
  </si>
  <si>
    <t>PROJ# 24S-098</t>
  </si>
  <si>
    <t>240915-3</t>
  </si>
  <si>
    <t>240915-13</t>
  </si>
  <si>
    <t>240921-16</t>
  </si>
  <si>
    <t>240921-17</t>
  </si>
  <si>
    <t>240921-23</t>
  </si>
  <si>
    <t>PROJ# 23S-078</t>
  </si>
  <si>
    <t>240922-3</t>
  </si>
  <si>
    <t>PROJ# 24S-099</t>
  </si>
  <si>
    <t>240922-4</t>
  </si>
  <si>
    <t>240922-5</t>
  </si>
  <si>
    <t>240922-7</t>
  </si>
  <si>
    <t>240922-8</t>
  </si>
  <si>
    <t>240925-48</t>
  </si>
  <si>
    <t>240926-61</t>
  </si>
  <si>
    <t>240928-1</t>
  </si>
  <si>
    <t>PROJ# 24S-020</t>
  </si>
  <si>
    <t>240928-2</t>
  </si>
  <si>
    <t>240929-1</t>
  </si>
  <si>
    <t>240929-2</t>
  </si>
  <si>
    <t>240929-3</t>
  </si>
  <si>
    <t>240929-7</t>
  </si>
  <si>
    <t>PROJ# 24S-062</t>
  </si>
  <si>
    <t>241003-1</t>
  </si>
  <si>
    <t>PROJ# 24S-084</t>
  </si>
  <si>
    <t>241003-55</t>
  </si>
  <si>
    <t>241003-56</t>
  </si>
  <si>
    <t>241004-7</t>
  </si>
  <si>
    <t>241004-4</t>
  </si>
  <si>
    <t>PROJ# 24S-112</t>
  </si>
  <si>
    <t>241005-5</t>
  </si>
  <si>
    <t>241006-1</t>
  </si>
  <si>
    <t>241006-2</t>
  </si>
  <si>
    <t>241006-3</t>
  </si>
  <si>
    <t>241006-4</t>
  </si>
  <si>
    <t>139063</t>
  </si>
  <si>
    <t>241009-1</t>
  </si>
  <si>
    <t>241009-50</t>
  </si>
  <si>
    <t>241010-57</t>
  </si>
  <si>
    <t>241013-2</t>
  </si>
  <si>
    <t>PROJ# 24S-063</t>
  </si>
  <si>
    <t>241013-3</t>
  </si>
  <si>
    <t>241014-13</t>
  </si>
  <si>
    <t>PROJ# 24S-110</t>
  </si>
  <si>
    <t>241027-1</t>
  </si>
  <si>
    <t>PROJ# 24S-118</t>
  </si>
  <si>
    <t>241027-2</t>
  </si>
  <si>
    <t>241030-1</t>
  </si>
  <si>
    <t>PROJ# 24S-121</t>
  </si>
  <si>
    <t>241030-2</t>
  </si>
  <si>
    <t>JAN - JUN 2024</t>
  </si>
  <si>
    <t>241101-34</t>
  </si>
  <si>
    <t>Project #24S-071</t>
  </si>
  <si>
    <t>241102-1</t>
  </si>
  <si>
    <t>Project #24S-109</t>
  </si>
  <si>
    <t>241102-2</t>
  </si>
  <si>
    <t>241102-29</t>
  </si>
  <si>
    <t>MAIDEN LANE</t>
  </si>
  <si>
    <t>241114-1</t>
  </si>
  <si>
    <t>Project #24S-123</t>
  </si>
  <si>
    <t>241114-52</t>
  </si>
  <si>
    <t>Project #24S-102</t>
  </si>
  <si>
    <t>241116-1</t>
  </si>
  <si>
    <t>Project #24S-103</t>
  </si>
  <si>
    <t>241116-2</t>
  </si>
  <si>
    <t>241116-6</t>
  </si>
  <si>
    <t>241116-7</t>
  </si>
  <si>
    <t>241116-8</t>
  </si>
  <si>
    <t>241116-9</t>
  </si>
  <si>
    <t>Project #23S-103</t>
  </si>
  <si>
    <t>241117-2</t>
  </si>
  <si>
    <t>Project #24S-005</t>
  </si>
  <si>
    <t>241122-57</t>
  </si>
  <si>
    <t>Project #24S-111</t>
  </si>
  <si>
    <t>241126-60</t>
  </si>
  <si>
    <t>Project #24S-128</t>
  </si>
  <si>
    <t>241123-1</t>
  </si>
  <si>
    <t>241123-2</t>
  </si>
  <si>
    <t>241123-4</t>
  </si>
  <si>
    <t>Project #24S-108</t>
  </si>
  <si>
    <t>241123-10</t>
  </si>
  <si>
    <t>241123-11</t>
  </si>
  <si>
    <t>241123-37</t>
  </si>
  <si>
    <t>Project #24S-126</t>
  </si>
  <si>
    <t>241123-52</t>
  </si>
  <si>
    <t>241127-60</t>
  </si>
  <si>
    <t>241127-61</t>
  </si>
  <si>
    <t>Project #24S-130</t>
  </si>
  <si>
    <t>241129-1</t>
  </si>
  <si>
    <t>Project #24S-129</t>
  </si>
  <si>
    <t>241129-11</t>
  </si>
  <si>
    <t>Project #24S-107</t>
  </si>
  <si>
    <t>241129-34</t>
  </si>
  <si>
    <t>Project #23S-078</t>
  </si>
  <si>
    <t>241129-35</t>
  </si>
  <si>
    <t>241129-36</t>
  </si>
  <si>
    <t>241130-13</t>
  </si>
  <si>
    <t>241130-14</t>
  </si>
  <si>
    <t>241130-15</t>
  </si>
  <si>
    <t>241130-16</t>
  </si>
  <si>
    <t>241130-4</t>
  </si>
  <si>
    <t>K486</t>
  </si>
  <si>
    <t>241130-5</t>
  </si>
  <si>
    <t>241130-7</t>
  </si>
  <si>
    <t>24S-1199</t>
  </si>
  <si>
    <t>241205-57</t>
  </si>
  <si>
    <t>Project #23S-110</t>
  </si>
  <si>
    <t>241206-38</t>
  </si>
  <si>
    <t>241207-21</t>
  </si>
  <si>
    <t>241208-1</t>
  </si>
  <si>
    <t>Project #24S-136</t>
  </si>
  <si>
    <t>241208-2</t>
  </si>
  <si>
    <t>241208-3</t>
  </si>
  <si>
    <t>241208-4</t>
  </si>
  <si>
    <t>241208-5</t>
  </si>
  <si>
    <t>241208-6</t>
  </si>
  <si>
    <t>241208-7</t>
  </si>
  <si>
    <t>241208-8</t>
  </si>
  <si>
    <t>241219-99</t>
  </si>
  <si>
    <t>Project #24S-026</t>
  </si>
  <si>
    <t>241221-3</t>
  </si>
  <si>
    <t>Project #24S-140</t>
  </si>
  <si>
    <t>241219-98</t>
  </si>
  <si>
    <t>241221-4</t>
  </si>
  <si>
    <t>Project #24S-021</t>
  </si>
  <si>
    <t>241221-8</t>
  </si>
  <si>
    <t>241221-9</t>
  </si>
  <si>
    <t>241221-10</t>
  </si>
  <si>
    <t>241221-11</t>
  </si>
  <si>
    <t>241221-23</t>
  </si>
  <si>
    <t>241221-26</t>
  </si>
  <si>
    <t>241222-1</t>
  </si>
  <si>
    <t>241222-2</t>
  </si>
  <si>
    <t>241222-3</t>
  </si>
  <si>
    <t>241222-21</t>
  </si>
  <si>
    <t>241222-22</t>
  </si>
  <si>
    <t>241222-23</t>
  </si>
  <si>
    <t>241223-1</t>
  </si>
  <si>
    <t>241223-2</t>
  </si>
  <si>
    <t>241223-3</t>
  </si>
  <si>
    <t>241223-4</t>
  </si>
  <si>
    <t>241223-41</t>
  </si>
  <si>
    <t>241223-42</t>
  </si>
  <si>
    <t>241223-46</t>
  </si>
  <si>
    <t>241223-47</t>
  </si>
  <si>
    <t>241226-24</t>
  </si>
  <si>
    <t>Project #24S-142</t>
  </si>
  <si>
    <t>241227-1</t>
  </si>
  <si>
    <t>241227-2</t>
  </si>
  <si>
    <t>241227-3</t>
  </si>
  <si>
    <t>241227-32</t>
  </si>
  <si>
    <t>241227-33</t>
  </si>
  <si>
    <t>Project #24S-007</t>
  </si>
  <si>
    <t>241228-18</t>
  </si>
  <si>
    <t>Project #24S-119</t>
  </si>
  <si>
    <t>241228-27</t>
  </si>
  <si>
    <t>241228-28</t>
  </si>
  <si>
    <t>241228-29</t>
  </si>
  <si>
    <t>241228-30</t>
  </si>
  <si>
    <t>241228-31</t>
  </si>
  <si>
    <t>241230-3</t>
  </si>
  <si>
    <t>250103-1</t>
  </si>
  <si>
    <t>Project #24S-145</t>
  </si>
  <si>
    <t>250104-8</t>
  </si>
  <si>
    <t>250104-9</t>
  </si>
  <si>
    <t>250118-1</t>
  </si>
  <si>
    <t>Project #25S-003</t>
  </si>
  <si>
    <t>250104-2</t>
  </si>
  <si>
    <t>250104-1</t>
  </si>
  <si>
    <t>250118-2</t>
  </si>
  <si>
    <t>250120-32</t>
  </si>
  <si>
    <t>250116-52</t>
  </si>
  <si>
    <t>X005</t>
  </si>
  <si>
    <t>250122-59</t>
  </si>
  <si>
    <t>250131-50</t>
  </si>
  <si>
    <t>Q420</t>
  </si>
  <si>
    <t>250131-51</t>
  </si>
  <si>
    <t>250125-25</t>
  </si>
  <si>
    <t>23S-132</t>
  </si>
  <si>
    <t>250131-37</t>
  </si>
  <si>
    <t>24S-102</t>
  </si>
  <si>
    <t>250126-10</t>
  </si>
  <si>
    <t>250130-56</t>
  </si>
  <si>
    <t>25S-006</t>
  </si>
  <si>
    <t>250208-25</t>
  </si>
  <si>
    <t>20-21 35TH STREET</t>
  </si>
  <si>
    <t>250202-1</t>
  </si>
  <si>
    <t>250202-2</t>
  </si>
  <si>
    <t>250202-3</t>
  </si>
  <si>
    <t>250202-4</t>
  </si>
  <si>
    <t>250202-5</t>
  </si>
  <si>
    <t>250202-6</t>
  </si>
  <si>
    <t>250202-7</t>
  </si>
  <si>
    <t>250202-8</t>
  </si>
  <si>
    <t>250218-1</t>
  </si>
  <si>
    <t>24S-106</t>
  </si>
  <si>
    <t>250214-29</t>
  </si>
  <si>
    <t>250215-39</t>
  </si>
  <si>
    <t>22-37 27TH STREET</t>
  </si>
  <si>
    <t>250220-106</t>
  </si>
  <si>
    <t>24S-020</t>
  </si>
  <si>
    <t>250221-1</t>
  </si>
  <si>
    <t>24S-125</t>
  </si>
  <si>
    <t>250221-2</t>
  </si>
  <si>
    <t>250221-3</t>
  </si>
  <si>
    <t>250301-1</t>
  </si>
  <si>
    <t>24S-049</t>
  </si>
  <si>
    <t>250308-1</t>
  </si>
  <si>
    <t>24S-054</t>
  </si>
  <si>
    <t>250308-2</t>
  </si>
  <si>
    <t>250308-5</t>
  </si>
  <si>
    <t>250308-6</t>
  </si>
  <si>
    <t>250309-4</t>
  </si>
  <si>
    <t>24S-111</t>
  </si>
  <si>
    <t>250309-5</t>
  </si>
  <si>
    <t>250309-6</t>
  </si>
  <si>
    <t>250309-7</t>
  </si>
  <si>
    <t>250309-8</t>
  </si>
  <si>
    <t>250310-45</t>
  </si>
  <si>
    <t>23S-078</t>
  </si>
  <si>
    <t>250311-72</t>
  </si>
  <si>
    <t>250312-70</t>
  </si>
  <si>
    <t>250313-56</t>
  </si>
  <si>
    <t>250314-30</t>
  </si>
  <si>
    <t>24S-131</t>
  </si>
  <si>
    <t>250314-45</t>
  </si>
  <si>
    <t>455 86 Street, Brooklyn</t>
  </si>
  <si>
    <t>250314-46</t>
  </si>
  <si>
    <t>250316-1</t>
  </si>
  <si>
    <t>250316-2</t>
  </si>
  <si>
    <t>250316-3</t>
  </si>
  <si>
    <t>250316-4</t>
  </si>
  <si>
    <t>250319-68</t>
  </si>
  <si>
    <t>250324-38</t>
  </si>
  <si>
    <t>564 Jackson Avenue, Brooklyn</t>
  </si>
  <si>
    <t>250324-39</t>
  </si>
  <si>
    <t>250329-1</t>
  </si>
  <si>
    <t>24S-035</t>
  </si>
  <si>
    <t>250330-1</t>
  </si>
  <si>
    <t>250330-29</t>
  </si>
  <si>
    <t>250330-30</t>
  </si>
  <si>
    <t>250403-86</t>
  </si>
  <si>
    <t>250405-2</t>
  </si>
  <si>
    <t>250405-6</t>
  </si>
  <si>
    <t>250405-7</t>
  </si>
  <si>
    <t>250405-8</t>
  </si>
  <si>
    <t>250414-61</t>
  </si>
  <si>
    <t>24S-062</t>
  </si>
  <si>
    <t>250415-75</t>
  </si>
  <si>
    <t>24S-133</t>
  </si>
  <si>
    <t>250415-76</t>
  </si>
  <si>
    <t>250416-1</t>
  </si>
  <si>
    <t>250416-2</t>
  </si>
  <si>
    <t>250416-3</t>
  </si>
  <si>
    <t>250416-4</t>
  </si>
  <si>
    <t>250418-41</t>
  </si>
  <si>
    <t>Q248 143-10 Springfield Boulevard, Queens, NY</t>
  </si>
  <si>
    <t>250420-2</t>
  </si>
  <si>
    <t>333 East 68th Street, NY, NY</t>
  </si>
  <si>
    <t>250420-3</t>
  </si>
  <si>
    <t>200 East 76th Street 3F, NY, NY</t>
  </si>
  <si>
    <t>250421-63</t>
  </si>
  <si>
    <t>8-21 Bay 25th Street, Queens, NY</t>
  </si>
  <si>
    <t>250422-17</t>
  </si>
  <si>
    <t>1339 Fulton Street, Brooklyn, NY</t>
  </si>
  <si>
    <t>250426-38</t>
  </si>
  <si>
    <t>191 Vermont Avenue, Staten Island, NY</t>
  </si>
  <si>
    <t>250426-47</t>
  </si>
  <si>
    <t>25S-007</t>
  </si>
  <si>
    <t>250418-42</t>
  </si>
  <si>
    <t>250426-48</t>
  </si>
  <si>
    <t>250426-49</t>
  </si>
  <si>
    <t>250427-1</t>
  </si>
  <si>
    <t>250427-2</t>
  </si>
  <si>
    <t>250427-8</t>
  </si>
  <si>
    <t>250221-57</t>
  </si>
  <si>
    <t>250221-77</t>
  </si>
  <si>
    <t>25S-012</t>
  </si>
  <si>
    <t>250222-4</t>
  </si>
  <si>
    <t>250222-5</t>
  </si>
  <si>
    <t>250222-6</t>
  </si>
  <si>
    <t>250222-7</t>
  </si>
  <si>
    <t>250222-8</t>
  </si>
  <si>
    <t>25S-005</t>
  </si>
  <si>
    <t>250222-9</t>
  </si>
  <si>
    <t>250222-11</t>
  </si>
  <si>
    <t>250222-12</t>
  </si>
  <si>
    <t>250222-13</t>
  </si>
  <si>
    <t>250222-39</t>
  </si>
  <si>
    <t>250222-40</t>
  </si>
  <si>
    <t>250222-41</t>
  </si>
  <si>
    <t>250222-42</t>
  </si>
  <si>
    <t>250222-43</t>
  </si>
  <si>
    <t>250222-44</t>
  </si>
  <si>
    <t>250223-1</t>
  </si>
  <si>
    <t>250223-2</t>
  </si>
  <si>
    <t>250223-3</t>
  </si>
  <si>
    <t>250608-5</t>
  </si>
  <si>
    <t>24S-143</t>
  </si>
  <si>
    <t>250614-13</t>
  </si>
  <si>
    <t>250616-132</t>
  </si>
  <si>
    <t>23S-055</t>
  </si>
  <si>
    <t>250626-13</t>
  </si>
  <si>
    <t>110 Central Park South,NY,NY Apt # 5B</t>
  </si>
  <si>
    <t>Q400</t>
  </si>
  <si>
    <t>K480</t>
  </si>
  <si>
    <t>R034</t>
  </si>
  <si>
    <t>Q475</t>
  </si>
  <si>
    <t>M155</t>
  </si>
  <si>
    <t>Q397</t>
  </si>
  <si>
    <t>R002</t>
  </si>
  <si>
    <t>R460</t>
  </si>
  <si>
    <t>M520</t>
  </si>
  <si>
    <t>K051</t>
  </si>
  <si>
    <t>Q456</t>
  </si>
  <si>
    <t>R050</t>
  </si>
  <si>
    <t>M128</t>
  </si>
  <si>
    <t>K445</t>
  </si>
  <si>
    <t>K324</t>
  </si>
  <si>
    <t>M169</t>
  </si>
  <si>
    <t>K804</t>
  </si>
  <si>
    <t>R030</t>
  </si>
  <si>
    <t>K136</t>
  </si>
  <si>
    <t>K306</t>
  </si>
  <si>
    <t>M140</t>
  </si>
  <si>
    <t>R060</t>
  </si>
  <si>
    <t>K017</t>
  </si>
  <si>
    <t>Q141</t>
  </si>
  <si>
    <t>K162</t>
  </si>
  <si>
    <t>R022</t>
  </si>
  <si>
    <t>24S-067</t>
  </si>
  <si>
    <t>24S-085</t>
  </si>
  <si>
    <t>24S-078</t>
  </si>
  <si>
    <t>23S-037</t>
  </si>
  <si>
    <t>24S-042</t>
  </si>
  <si>
    <t>24S-051</t>
  </si>
  <si>
    <t>23S-070</t>
  </si>
  <si>
    <t>24S-004</t>
  </si>
  <si>
    <t>24S-038</t>
  </si>
  <si>
    <t>24S-064</t>
  </si>
  <si>
    <t>23S-018</t>
  </si>
  <si>
    <t>24S-066</t>
  </si>
  <si>
    <t>23S-079</t>
  </si>
  <si>
    <t>24S-045</t>
  </si>
  <si>
    <t>24S-073</t>
  </si>
  <si>
    <t>24S-036</t>
  </si>
  <si>
    <t>24S-081</t>
  </si>
  <si>
    <t>23S-077</t>
  </si>
  <si>
    <t>24S-099</t>
  </si>
  <si>
    <t>24S-088</t>
  </si>
  <si>
    <t>K124</t>
  </si>
  <si>
    <t>Q225</t>
  </si>
  <si>
    <t>M125</t>
  </si>
  <si>
    <t>K209</t>
  </si>
  <si>
    <t>M615</t>
  </si>
  <si>
    <t>PCM(24HRS)</t>
  </si>
  <si>
    <t>PCM(6HRS)</t>
  </si>
  <si>
    <t>Item</t>
  </si>
  <si>
    <t>24S-117</t>
  </si>
  <si>
    <t>24-01-124</t>
  </si>
  <si>
    <t>TEM-AIR</t>
  </si>
  <si>
    <t>Q217</t>
  </si>
  <si>
    <t>23S-071</t>
  </si>
  <si>
    <t>PCM(1HR)</t>
  </si>
  <si>
    <t>25-03-092</t>
  </si>
  <si>
    <t>25-03-119</t>
  </si>
  <si>
    <t>25-03-326</t>
  </si>
  <si>
    <t>25-03-325</t>
  </si>
  <si>
    <t>25-05-244</t>
  </si>
  <si>
    <t>19S-001</t>
  </si>
  <si>
    <t>19-07-169</t>
  </si>
  <si>
    <t>25-07-136</t>
  </si>
  <si>
    <t>25-06-148</t>
  </si>
  <si>
    <t>25-06-149</t>
  </si>
  <si>
    <t>25-06-185</t>
  </si>
  <si>
    <t>25-06-186</t>
  </si>
  <si>
    <t>25-06-258</t>
  </si>
  <si>
    <t>25-06-259</t>
  </si>
  <si>
    <t>25-06-260</t>
  </si>
  <si>
    <t>25-06-261</t>
  </si>
  <si>
    <t>25-06-262</t>
  </si>
  <si>
    <t>JOB NO</t>
  </si>
  <si>
    <t>INV#</t>
  </si>
  <si>
    <t>25-05-042</t>
  </si>
  <si>
    <t>PCM (1HR)</t>
  </si>
  <si>
    <t xml:space="preserve">25-04-944 </t>
  </si>
  <si>
    <t>25-04-946</t>
  </si>
  <si>
    <t>25-04-945</t>
  </si>
  <si>
    <t>25-04-947</t>
  </si>
  <si>
    <t>25-04-998</t>
  </si>
  <si>
    <t>25-04-999</t>
  </si>
  <si>
    <t>25-04-1000</t>
  </si>
  <si>
    <t>23-09-031</t>
  </si>
  <si>
    <t>3RD FL PLAYGRND ROOF</t>
  </si>
  <si>
    <t>23-09-133</t>
  </si>
  <si>
    <t>DAF</t>
  </si>
  <si>
    <t>SCHL ROOF PLAYGRND</t>
  </si>
  <si>
    <t>EXT FAÇADE</t>
  </si>
  <si>
    <t>24-06-360</t>
  </si>
  <si>
    <t>ROOF B - PLAYDECK</t>
  </si>
  <si>
    <t>24-06-383</t>
  </si>
  <si>
    <t>24-08-520</t>
  </si>
  <si>
    <t>GROUND D E SIDE ENT</t>
  </si>
  <si>
    <t>N FAÇADE RM 417</t>
  </si>
  <si>
    <t>GROUND FL W SIDE ENT</t>
  </si>
  <si>
    <t>25-01-652</t>
  </si>
  <si>
    <t>2ND FL N S SIDE FAÇADE/3RD FL ALL SIDES</t>
  </si>
  <si>
    <t>25-01-660</t>
  </si>
  <si>
    <t>2ND FL N FAÇADE</t>
  </si>
  <si>
    <t>25-01-677</t>
  </si>
  <si>
    <t>RM 416 WINDOW</t>
  </si>
  <si>
    <t>25-01-721</t>
  </si>
  <si>
    <t>RM 419</t>
  </si>
  <si>
    <t>25-02-077</t>
  </si>
  <si>
    <t>RM 403</t>
  </si>
  <si>
    <t>25-02-293</t>
  </si>
  <si>
    <t>3RD FL W FAÇADE</t>
  </si>
  <si>
    <t>25-02-310</t>
  </si>
  <si>
    <t>25-02-709</t>
  </si>
  <si>
    <t>3RD FL S FAÇADE RM 411</t>
  </si>
  <si>
    <t>25-02-738</t>
  </si>
  <si>
    <t>3RD FL S FAÇADE RM 406</t>
  </si>
  <si>
    <t>25-02-789</t>
  </si>
  <si>
    <t>3RD FL FAÇADE RM 410, 409</t>
  </si>
  <si>
    <t>25-03-091</t>
  </si>
  <si>
    <t>3RD FL FAÇADE RM 405</t>
  </si>
  <si>
    <t>25-03-118</t>
  </si>
  <si>
    <t>3RD FL S FAÇADE RM 408</t>
  </si>
  <si>
    <t>25-03-185</t>
  </si>
  <si>
    <t>3RD FL S FAÇADE RM 407</t>
  </si>
  <si>
    <t>25-03-212</t>
  </si>
  <si>
    <t>2ND FL W FAÇADE</t>
  </si>
  <si>
    <t>RM 312</t>
  </si>
  <si>
    <t>RM 308</t>
  </si>
  <si>
    <t>RM 313, 316</t>
  </si>
  <si>
    <t>RM 310</t>
  </si>
  <si>
    <t>25-03-539</t>
  </si>
  <si>
    <t>2ND FL FAÇADE RM 311</t>
  </si>
  <si>
    <t>25-03-564</t>
  </si>
  <si>
    <t>2ND FL S FAÇADE RM 309</t>
  </si>
  <si>
    <t>VESTIBULE #329, 330</t>
  </si>
  <si>
    <t>VESTIBULE #330</t>
  </si>
  <si>
    <t>VESTIBULE #229</t>
  </si>
  <si>
    <t>25-04-125</t>
  </si>
  <si>
    <t>25-04-131</t>
  </si>
  <si>
    <t>25-04-944</t>
  </si>
  <si>
    <t>GROUND - E SIDE</t>
  </si>
  <si>
    <t>VESTIBULE 329, 330</t>
  </si>
  <si>
    <t>GRND FL W SIDE ENT</t>
  </si>
  <si>
    <t>BSMNT AREA</t>
  </si>
  <si>
    <t>2ND FL - STAR B HALL</t>
  </si>
  <si>
    <t>3RD FL - STAIR B HALL</t>
  </si>
  <si>
    <t>1ST FL CORR</t>
  </si>
  <si>
    <t>2ND &amp; 3RD STAIR B HALL</t>
  </si>
  <si>
    <t>2ND FL CORR</t>
  </si>
  <si>
    <t>FAÇADE</t>
  </si>
  <si>
    <t>EXT FAÇADE EAST - 1ST FL</t>
  </si>
  <si>
    <t>1ST FL OFFICE 119</t>
  </si>
  <si>
    <t>1-3 FL HALLWAY</t>
  </si>
  <si>
    <t>FL 1-3 EXT FAÇADE EAST</t>
  </si>
  <si>
    <t>3RD FL EXT FAÇADE</t>
  </si>
  <si>
    <t>C000015869</t>
  </si>
  <si>
    <t>22-00003R</t>
  </si>
  <si>
    <t>Solicitation #</t>
  </si>
  <si>
    <t>Contract Execution Date</t>
  </si>
  <si>
    <t>Contract Expiration Date</t>
  </si>
  <si>
    <t>Contract Value</t>
  </si>
  <si>
    <t>PCM</t>
  </si>
  <si>
    <t>PCM-FINALS</t>
  </si>
  <si>
    <t>PLM-FRI</t>
  </si>
  <si>
    <t>LEAD PAINT CHIPS</t>
  </si>
  <si>
    <t>QTY</t>
  </si>
  <si>
    <t>RATE</t>
  </si>
  <si>
    <t>TOTAL</t>
  </si>
  <si>
    <t>JOB NUMBER</t>
  </si>
  <si>
    <t>25S-010</t>
  </si>
  <si>
    <t>JOB_TYPE</t>
  </si>
  <si>
    <t>Jobs for Project</t>
  </si>
  <si>
    <t>L01</t>
  </si>
  <si>
    <t>L02</t>
  </si>
  <si>
    <t>L03</t>
  </si>
  <si>
    <t>L04</t>
  </si>
  <si>
    <t>L05</t>
  </si>
  <si>
    <t>L06</t>
  </si>
  <si>
    <t>L07</t>
  </si>
  <si>
    <t>L08</t>
  </si>
  <si>
    <t>LEAD WIPE</t>
  </si>
  <si>
    <t>L09</t>
  </si>
  <si>
    <t>L10</t>
  </si>
  <si>
    <t>L11</t>
  </si>
  <si>
    <t>SLIDE</t>
  </si>
  <si>
    <t>SCA_FEE_SCHED</t>
  </si>
  <si>
    <t>I NEED TO</t>
  </si>
  <si>
    <t>Learn to create a data model</t>
  </si>
  <si>
    <t>Create a data model</t>
  </si>
  <si>
    <t>RM 207, 209</t>
  </si>
  <si>
    <t>RM 207, 209, 359, 256, 262, 154, BSMNT</t>
  </si>
  <si>
    <t>CORRIDOR BY 207, 209</t>
  </si>
  <si>
    <t>1ST FL CAFÉ</t>
  </si>
  <si>
    <t>24-11-382</t>
  </si>
  <si>
    <t>24-11-413</t>
  </si>
  <si>
    <t>24-11-414</t>
  </si>
  <si>
    <t>24-11-492</t>
  </si>
  <si>
    <t>24-11-493</t>
  </si>
  <si>
    <t>24-11-064</t>
  </si>
  <si>
    <t>RM 207 CORRIDOR WALL</t>
  </si>
  <si>
    <t>CAFÉ</t>
  </si>
  <si>
    <t>RM 207</t>
  </si>
  <si>
    <t>2ND FL CORRIDOR BY RM 265</t>
  </si>
  <si>
    <t>WEEK ENDING DATE</t>
  </si>
  <si>
    <t>23S-024</t>
  </si>
  <si>
    <t>3RD FL – ROOM 357, CLOSET</t>
  </si>
  <si>
    <t>23-06-498</t>
  </si>
  <si>
    <t>RM 357</t>
  </si>
  <si>
    <t>23-06-574</t>
  </si>
  <si>
    <t>23-06-575</t>
  </si>
  <si>
    <t>23-06-573</t>
  </si>
  <si>
    <t>23-06-063</t>
  </si>
  <si>
    <t>X049</t>
  </si>
  <si>
    <t>24S-039</t>
  </si>
  <si>
    <t>24S-070</t>
  </si>
  <si>
    <t>5 FL LANDINGS A-F</t>
  </si>
  <si>
    <t>4-4.5 FL LANDINGS A-F</t>
  </si>
  <si>
    <t>24-07-1146</t>
  </si>
  <si>
    <t>4-5 FL LANDINGS A-F</t>
  </si>
  <si>
    <t>24-07-1190</t>
  </si>
  <si>
    <t>4.5-5 FL LANDING A-F</t>
  </si>
  <si>
    <t>24-07-1189</t>
  </si>
  <si>
    <t>24-07-1198</t>
  </si>
  <si>
    <t>24-07-1232</t>
  </si>
  <si>
    <t>24-07-1229</t>
  </si>
  <si>
    <t>24-07-1231</t>
  </si>
  <si>
    <t>24-07-251</t>
  </si>
  <si>
    <t>24-08-118</t>
  </si>
  <si>
    <t>4 FL LANDINGS A-F</t>
  </si>
  <si>
    <t>24-08-119</t>
  </si>
  <si>
    <t>24-08-195</t>
  </si>
  <si>
    <t>24-08-237</t>
  </si>
  <si>
    <t>24-08-238</t>
  </si>
  <si>
    <t>24-08-048</t>
  </si>
  <si>
    <t>Q470</t>
  </si>
  <si>
    <t>24-06-149</t>
  </si>
  <si>
    <t>24-06-191</t>
  </si>
  <si>
    <t>24-06-192</t>
  </si>
  <si>
    <t>24-06-221</t>
  </si>
  <si>
    <t>24-06-222</t>
  </si>
  <si>
    <t>24-06-025</t>
  </si>
  <si>
    <t>24-06-333</t>
  </si>
  <si>
    <t>24-06-332</t>
  </si>
  <si>
    <t>24-06-369</t>
  </si>
  <si>
    <t>24-06-368</t>
  </si>
  <si>
    <t>24-05-042</t>
  </si>
  <si>
    <t>24-06-463</t>
  </si>
  <si>
    <t>24-06-462</t>
  </si>
  <si>
    <t>24-06-505</t>
  </si>
  <si>
    <t>24-06-504</t>
  </si>
  <si>
    <t>24-06-057</t>
  </si>
  <si>
    <t>24-07-159</t>
  </si>
  <si>
    <t>24-07-158</t>
  </si>
  <si>
    <t>24-07-213</t>
  </si>
  <si>
    <t>24-07-212</t>
  </si>
  <si>
    <t>24-07-043</t>
  </si>
  <si>
    <t>105910-0</t>
  </si>
  <si>
    <t>105909-0</t>
  </si>
  <si>
    <t>105912-0</t>
  </si>
  <si>
    <t>105913-0</t>
  </si>
  <si>
    <t>105914-0</t>
  </si>
  <si>
    <t>105915-0</t>
  </si>
  <si>
    <t>105906-0</t>
  </si>
  <si>
    <t>128124-0</t>
  </si>
  <si>
    <t>105919-0</t>
  </si>
  <si>
    <t>105922-0</t>
  </si>
  <si>
    <t>105921-0</t>
  </si>
  <si>
    <t>105920-0</t>
  </si>
  <si>
    <t>105911-0</t>
  </si>
  <si>
    <t>128127-0</t>
  </si>
  <si>
    <t>105918-0</t>
  </si>
  <si>
    <t>128129-0</t>
  </si>
  <si>
    <t>1ST FL CORRIDOR</t>
  </si>
  <si>
    <t>2ND FL HALL</t>
  </si>
  <si>
    <t>M064</t>
  </si>
  <si>
    <t>1ST FL – CORRIDOR NEAR AUD</t>
  </si>
  <si>
    <t>1ST FL – CORRIDOR FROM STAIR A to B</t>
  </si>
  <si>
    <t>1ST FL – CORRIDOR PHASE 3</t>
  </si>
  <si>
    <t>1ST FL – CORRIDOR PHASE 4</t>
  </si>
  <si>
    <t>2ND FL - CORRIDOR PARTIAL</t>
  </si>
  <si>
    <t>SAI FILE NO</t>
  </si>
  <si>
    <t>PROJECT DESCRIPTION</t>
  </si>
  <si>
    <t>SCA SERVICE ID NO.</t>
  </si>
  <si>
    <t>SCA PROJECT ID NO.</t>
  </si>
  <si>
    <t>25S-001</t>
  </si>
  <si>
    <t>PO18</t>
  </si>
  <si>
    <t>25S-002</t>
  </si>
  <si>
    <t>X475</t>
  </si>
  <si>
    <t>25S-003</t>
  </si>
  <si>
    <t>K273</t>
  </si>
  <si>
    <t>25S-004</t>
  </si>
  <si>
    <t>Q189</t>
  </si>
  <si>
    <t>Q465</t>
  </si>
  <si>
    <t>CTF</t>
  </si>
  <si>
    <t>R024</t>
  </si>
  <si>
    <t>25S-008</t>
  </si>
  <si>
    <t>25S-009</t>
  </si>
  <si>
    <t>K384</t>
  </si>
  <si>
    <t>25S-011</t>
  </si>
  <si>
    <t>X030</t>
  </si>
  <si>
    <t>K138</t>
  </si>
  <si>
    <t>25S-013</t>
  </si>
  <si>
    <t>25S-014</t>
  </si>
  <si>
    <t>25S-015</t>
  </si>
  <si>
    <t>X131</t>
  </si>
  <si>
    <t>25S-016</t>
  </si>
  <si>
    <t>25S-017</t>
  </si>
  <si>
    <t>25S-018</t>
  </si>
  <si>
    <t>K495</t>
  </si>
  <si>
    <t>25S-019</t>
  </si>
  <si>
    <t>25S-020</t>
  </si>
  <si>
    <t>M183</t>
  </si>
  <si>
    <t>CIP</t>
  </si>
  <si>
    <t>25S-021</t>
  </si>
  <si>
    <t>CTF Room Conv</t>
  </si>
  <si>
    <t>25S-022</t>
  </si>
  <si>
    <t>Q520</t>
  </si>
  <si>
    <t>25S-023</t>
  </si>
  <si>
    <t>CTF Path of Travel</t>
  </si>
  <si>
    <t>25S-024</t>
  </si>
  <si>
    <t>M017</t>
  </si>
  <si>
    <t>25S-025</t>
  </si>
  <si>
    <t>25S-026</t>
  </si>
  <si>
    <t>25S-027</t>
  </si>
  <si>
    <t>X149</t>
  </si>
  <si>
    <t>25S-028</t>
  </si>
  <si>
    <t>Q025</t>
  </si>
  <si>
    <t>25S-029</t>
  </si>
  <si>
    <t>K019</t>
  </si>
  <si>
    <t>25S-030</t>
  </si>
  <si>
    <t>M030</t>
  </si>
  <si>
    <t>25S-031</t>
  </si>
  <si>
    <t>M625</t>
  </si>
  <si>
    <t>25S-032</t>
  </si>
  <si>
    <t>CTR Room Conv</t>
  </si>
  <si>
    <t>25S-033</t>
  </si>
  <si>
    <t>R001</t>
  </si>
  <si>
    <t>25S-034</t>
  </si>
  <si>
    <t>25S-035</t>
  </si>
  <si>
    <t>R440</t>
  </si>
  <si>
    <t>25S-036</t>
  </si>
  <si>
    <t>Q460</t>
  </si>
  <si>
    <t>25S-037</t>
  </si>
  <si>
    <t>25S-038</t>
  </si>
  <si>
    <t>K420</t>
  </si>
  <si>
    <t>RESO  LAP</t>
  </si>
  <si>
    <t>25S-039</t>
  </si>
  <si>
    <t>M166</t>
  </si>
  <si>
    <t>25S-040</t>
  </si>
  <si>
    <t>M001</t>
  </si>
  <si>
    <t>25S-041</t>
  </si>
  <si>
    <t>K099</t>
  </si>
  <si>
    <t>25S-042</t>
  </si>
  <si>
    <t>M165</t>
  </si>
  <si>
    <t>25S-043</t>
  </si>
  <si>
    <t>Q214</t>
  </si>
  <si>
    <t>25S-044</t>
  </si>
  <si>
    <t>M096</t>
  </si>
  <si>
    <t>25S-045</t>
  </si>
  <si>
    <t>24S-001</t>
  </si>
  <si>
    <t>24S-002</t>
  </si>
  <si>
    <t>M440</t>
  </si>
  <si>
    <t>24S-003</t>
  </si>
  <si>
    <t>M187</t>
  </si>
  <si>
    <t>K050</t>
  </si>
  <si>
    <t>24S-005</t>
  </si>
  <si>
    <t>R435</t>
  </si>
  <si>
    <t>P026332</t>
  </si>
  <si>
    <t>24S-008</t>
  </si>
  <si>
    <t>24S-009</t>
  </si>
  <si>
    <t>24S-010</t>
  </si>
  <si>
    <t>Q021</t>
  </si>
  <si>
    <t>24S-011</t>
  </si>
  <si>
    <t>D019615</t>
  </si>
  <si>
    <t>24S-012</t>
  </si>
  <si>
    <t>24S-013</t>
  </si>
  <si>
    <t>24S-014</t>
  </si>
  <si>
    <t>K160</t>
  </si>
  <si>
    <t>24S-015</t>
  </si>
  <si>
    <t>24S-016</t>
  </si>
  <si>
    <t>K232</t>
  </si>
  <si>
    <t>24S-017</t>
  </si>
  <si>
    <t>24S-018</t>
  </si>
  <si>
    <t>24S-019</t>
  </si>
  <si>
    <t>24S-021</t>
  </si>
  <si>
    <t>R075</t>
  </si>
  <si>
    <t>24S-023</t>
  </si>
  <si>
    <t>M163</t>
  </si>
  <si>
    <t>24S-024</t>
  </si>
  <si>
    <t>M465</t>
  </si>
  <si>
    <t>24S-025</t>
  </si>
  <si>
    <t>24S-026</t>
  </si>
  <si>
    <t>K620</t>
  </si>
  <si>
    <t>24S-027</t>
  </si>
  <si>
    <t>Q067</t>
  </si>
  <si>
    <t>24S-028</t>
  </si>
  <si>
    <t>24S-029</t>
  </si>
  <si>
    <t>Q442</t>
  </si>
  <si>
    <t>24S-030</t>
  </si>
  <si>
    <t>24S-031</t>
  </si>
  <si>
    <t>Q023</t>
  </si>
  <si>
    <t>24S-032</t>
  </si>
  <si>
    <t>24S-033</t>
  </si>
  <si>
    <t>R013</t>
  </si>
  <si>
    <t>24S-034</t>
  </si>
  <si>
    <t>Q037</t>
  </si>
  <si>
    <t>24S-037</t>
  </si>
  <si>
    <t>K104</t>
  </si>
  <si>
    <t>24S-040</t>
  </si>
  <si>
    <t>Q231</t>
  </si>
  <si>
    <t>Special Program</t>
  </si>
  <si>
    <t>24S-041</t>
  </si>
  <si>
    <t>Q203</t>
  </si>
  <si>
    <t>24S-043</t>
  </si>
  <si>
    <t>R008</t>
  </si>
  <si>
    <t>24S-044</t>
  </si>
  <si>
    <t>X074</t>
  </si>
  <si>
    <t>K316</t>
  </si>
  <si>
    <t>24S-046</t>
  </si>
  <si>
    <t>R040</t>
  </si>
  <si>
    <t>24S-047</t>
  </si>
  <si>
    <t>Q024</t>
  </si>
  <si>
    <t>24S-048</t>
  </si>
  <si>
    <t>M050</t>
  </si>
  <si>
    <t>24S-050</t>
  </si>
  <si>
    <t>R455</t>
  </si>
  <si>
    <t>24S-052</t>
  </si>
  <si>
    <t>Q438</t>
  </si>
  <si>
    <t>24S-053</t>
  </si>
  <si>
    <t>M152</t>
  </si>
  <si>
    <t>24S-056</t>
  </si>
  <si>
    <t>Q480</t>
  </si>
  <si>
    <t>24S-057</t>
  </si>
  <si>
    <t>24S-058</t>
  </si>
  <si>
    <t>24S-059</t>
  </si>
  <si>
    <t>24S-060</t>
  </si>
  <si>
    <t>24S-061</t>
  </si>
  <si>
    <t>K151</t>
  </si>
  <si>
    <t>K650</t>
  </si>
  <si>
    <t>24S-063</t>
  </si>
  <si>
    <t>K095</t>
  </si>
  <si>
    <t>24S-065</t>
  </si>
  <si>
    <t>R059</t>
  </si>
  <si>
    <t>K265</t>
  </si>
  <si>
    <t>R831</t>
  </si>
  <si>
    <t>24S-068</t>
  </si>
  <si>
    <t>K085</t>
  </si>
  <si>
    <t>24S-069</t>
  </si>
  <si>
    <t>K874</t>
  </si>
  <si>
    <t>24S-071</t>
  </si>
  <si>
    <t>24S-072</t>
  </si>
  <si>
    <t>K455</t>
  </si>
  <si>
    <t>24S-074</t>
  </si>
  <si>
    <t>K231</t>
  </si>
  <si>
    <t>24S-075</t>
  </si>
  <si>
    <t>24S-076</t>
  </si>
  <si>
    <t>Q089</t>
  </si>
  <si>
    <t>24S-077</t>
  </si>
  <si>
    <t>24S-079</t>
  </si>
  <si>
    <t>K114</t>
  </si>
  <si>
    <t>24S-080</t>
  </si>
  <si>
    <t>K184</t>
  </si>
  <si>
    <t>K174</t>
  </si>
  <si>
    <t>24S-082</t>
  </si>
  <si>
    <t>K246</t>
  </si>
  <si>
    <t>24S-083</t>
  </si>
  <si>
    <t>24S-084</t>
  </si>
  <si>
    <t>24S-086</t>
  </si>
  <si>
    <t>24S-087</t>
  </si>
  <si>
    <t>K932</t>
  </si>
  <si>
    <t>X086</t>
  </si>
  <si>
    <t>24S-089</t>
  </si>
  <si>
    <t>R026</t>
  </si>
  <si>
    <t>24S-090</t>
  </si>
  <si>
    <t>24S-091</t>
  </si>
  <si>
    <t>R825</t>
  </si>
  <si>
    <t>24S-092</t>
  </si>
  <si>
    <t>K166</t>
  </si>
  <si>
    <t>24S-093</t>
  </si>
  <si>
    <t>R450</t>
  </si>
  <si>
    <t>24S-094</t>
  </si>
  <si>
    <t>K285</t>
  </si>
  <si>
    <t>24S-095</t>
  </si>
  <si>
    <t>24S-096</t>
  </si>
  <si>
    <t>K207</t>
  </si>
  <si>
    <t>24S-097</t>
  </si>
  <si>
    <t>X028</t>
  </si>
  <si>
    <t>24S-098</t>
  </si>
  <si>
    <t>R055</t>
  </si>
  <si>
    <t>24S-100</t>
  </si>
  <si>
    <t>M052</t>
  </si>
  <si>
    <t>D016339</t>
  </si>
  <si>
    <t>24S-101</t>
  </si>
  <si>
    <t>Q188</t>
  </si>
  <si>
    <t>24S-103</t>
  </si>
  <si>
    <t>K145</t>
  </si>
  <si>
    <t>24S-104</t>
  </si>
  <si>
    <t>24S-105</t>
  </si>
  <si>
    <t>K540</t>
  </si>
  <si>
    <t>24S-107</t>
  </si>
  <si>
    <t>24S-108</t>
  </si>
  <si>
    <t>K027</t>
  </si>
  <si>
    <t>24S-109</t>
  </si>
  <si>
    <t>K425</t>
  </si>
  <si>
    <t>24S-110</t>
  </si>
  <si>
    <t>K505</t>
  </si>
  <si>
    <t>24S-112</t>
  </si>
  <si>
    <t>24S-113</t>
  </si>
  <si>
    <t>Q166</t>
  </si>
  <si>
    <t>24S-114</t>
  </si>
  <si>
    <t>M180</t>
  </si>
  <si>
    <t>24S-115</t>
  </si>
  <si>
    <t>M124</t>
  </si>
  <si>
    <t>24S-116</t>
  </si>
  <si>
    <t>24S-118</t>
  </si>
  <si>
    <t>X139</t>
  </si>
  <si>
    <t>24S-119</t>
  </si>
  <si>
    <t>K515</t>
  </si>
  <si>
    <t>24S-120</t>
  </si>
  <si>
    <t>K226</t>
  </si>
  <si>
    <t>24S-121</t>
  </si>
  <si>
    <t>K370</t>
  </si>
  <si>
    <t>24S-122</t>
  </si>
  <si>
    <t>CIP/LSP</t>
  </si>
  <si>
    <t>P026394</t>
  </si>
  <si>
    <t>24S-123</t>
  </si>
  <si>
    <t>24S-124</t>
  </si>
  <si>
    <t>CIP/CTF</t>
  </si>
  <si>
    <t>24S-126</t>
  </si>
  <si>
    <t>24S-127</t>
  </si>
  <si>
    <t>24S-128</t>
  </si>
  <si>
    <t>K043</t>
  </si>
  <si>
    <t>24S-129</t>
  </si>
  <si>
    <t>K171</t>
  </si>
  <si>
    <t>24S-130</t>
  </si>
  <si>
    <t>K851</t>
  </si>
  <si>
    <t>Q490</t>
  </si>
  <si>
    <t>24S-132</t>
  </si>
  <si>
    <t>24S-134</t>
  </si>
  <si>
    <t>M480</t>
  </si>
  <si>
    <t>24S-135</t>
  </si>
  <si>
    <t>M099</t>
  </si>
  <si>
    <t>24S-136</t>
  </si>
  <si>
    <t>K164</t>
  </si>
  <si>
    <t>24S-137</t>
  </si>
  <si>
    <t>M501</t>
  </si>
  <si>
    <t>24S-138</t>
  </si>
  <si>
    <t>Q200</t>
  </si>
  <si>
    <t>24S-139</t>
  </si>
  <si>
    <t>Q185</t>
  </si>
  <si>
    <t>24S-140</t>
  </si>
  <si>
    <t>M660</t>
  </si>
  <si>
    <t>24S-141</t>
  </si>
  <si>
    <t>K799</t>
  </si>
  <si>
    <t>24S-142</t>
  </si>
  <si>
    <t>R883</t>
  </si>
  <si>
    <t>24S-144</t>
  </si>
  <si>
    <t>M540</t>
  </si>
  <si>
    <t>24S-145</t>
  </si>
  <si>
    <t>K854</t>
  </si>
  <si>
    <t>24S-146</t>
  </si>
  <si>
    <t>X142</t>
  </si>
  <si>
    <t>24S-147</t>
  </si>
  <si>
    <t>X102</t>
  </si>
  <si>
    <t>P095418</t>
  </si>
  <si>
    <t>24S-148</t>
  </si>
  <si>
    <t>M061</t>
  </si>
  <si>
    <t>24S-149</t>
  </si>
  <si>
    <t>24S-150</t>
  </si>
  <si>
    <t>23S-001</t>
  </si>
  <si>
    <t xml:space="preserve">Q800 - DOE Administrative </t>
  </si>
  <si>
    <t>Q450 NEWCOMERS HS</t>
  </si>
  <si>
    <t>23S-003</t>
  </si>
  <si>
    <t>I.S. 101X</t>
  </si>
  <si>
    <t>I.S. 126Q</t>
  </si>
  <si>
    <t>23S-005</t>
  </si>
  <si>
    <t>P.S. 183K</t>
  </si>
  <si>
    <t>P.S. 205Q</t>
  </si>
  <si>
    <t>23S-007</t>
  </si>
  <si>
    <t>I.S. 210Q</t>
  </si>
  <si>
    <t>23S-008</t>
  </si>
  <si>
    <t>K600 CLARA BARTON</t>
  </si>
  <si>
    <t>23S-009</t>
  </si>
  <si>
    <t>P.S. 263K</t>
  </si>
  <si>
    <t>P.S. 221Q</t>
  </si>
  <si>
    <t>23S-011</t>
  </si>
  <si>
    <t>P.S. 35Q</t>
  </si>
  <si>
    <t>23S-012</t>
  </si>
  <si>
    <t>23S-014</t>
  </si>
  <si>
    <t>P.S. 49X</t>
  </si>
  <si>
    <t>23S-015</t>
  </si>
  <si>
    <t>P.S. 242 - M144</t>
  </si>
  <si>
    <t>23S-016</t>
  </si>
  <si>
    <t>P.S. 54K</t>
  </si>
  <si>
    <t>23S-017</t>
  </si>
  <si>
    <t>P.S. 86K</t>
  </si>
  <si>
    <t>P.S. 277X</t>
  </si>
  <si>
    <t>P026180</t>
  </si>
  <si>
    <t>23S-020</t>
  </si>
  <si>
    <t>Q725</t>
  </si>
  <si>
    <t>23S-021</t>
  </si>
  <si>
    <t>R061</t>
  </si>
  <si>
    <t>23S-022</t>
  </si>
  <si>
    <t>P.S. 132X</t>
  </si>
  <si>
    <t>23S-023</t>
  </si>
  <si>
    <t>P026163</t>
  </si>
  <si>
    <t>P.S. 41X</t>
  </si>
  <si>
    <t>23S-027</t>
  </si>
  <si>
    <t>P.S. 26R</t>
  </si>
  <si>
    <t>23S-028</t>
  </si>
  <si>
    <t>23S-029</t>
  </si>
  <si>
    <t>P.S. 128K</t>
  </si>
  <si>
    <t>23S-030</t>
  </si>
  <si>
    <t>P.S. 34R</t>
  </si>
  <si>
    <t>23S-031</t>
  </si>
  <si>
    <t>P.S. 14Q</t>
  </si>
  <si>
    <t>23S-032</t>
  </si>
  <si>
    <t>23S-033</t>
  </si>
  <si>
    <t>P.S. 66M</t>
  </si>
  <si>
    <t>23S-034</t>
  </si>
  <si>
    <t>P.S. 80X</t>
  </si>
  <si>
    <t>23S-035</t>
  </si>
  <si>
    <t>23S-036</t>
  </si>
  <si>
    <t>M133</t>
  </si>
  <si>
    <t>P.S. 19X</t>
  </si>
  <si>
    <t>23S-039</t>
  </si>
  <si>
    <t>23S-040</t>
  </si>
  <si>
    <t>23S-041</t>
  </si>
  <si>
    <t>X807</t>
  </si>
  <si>
    <t>I.S. 364K</t>
  </si>
  <si>
    <t>23S-043</t>
  </si>
  <si>
    <t>P.S. 2R</t>
  </si>
  <si>
    <t>23S-044</t>
  </si>
  <si>
    <t>P.S. 115M</t>
  </si>
  <si>
    <t>23S-046</t>
  </si>
  <si>
    <t>K505 FRANKLIN ROOSEVELT</t>
  </si>
  <si>
    <t>23S-047</t>
  </si>
  <si>
    <t>P.S. 79Q</t>
  </si>
  <si>
    <t>23S-048</t>
  </si>
  <si>
    <t>23S-049</t>
  </si>
  <si>
    <t>23S-050</t>
  </si>
  <si>
    <t>P.S. 289K</t>
  </si>
  <si>
    <t>23S-051</t>
  </si>
  <si>
    <t>P.S. 18R</t>
  </si>
  <si>
    <t>P.S. 107X</t>
  </si>
  <si>
    <t>23S-053</t>
  </si>
  <si>
    <t>P.S. 101X</t>
  </si>
  <si>
    <t>23S-054</t>
  </si>
  <si>
    <t>P.S. 128M</t>
  </si>
  <si>
    <t>P.S. 140M</t>
  </si>
  <si>
    <t>23S-056</t>
  </si>
  <si>
    <t>R445 TOTTENVILLE HS</t>
  </si>
  <si>
    <t>23S-057</t>
  </si>
  <si>
    <t>P.S. 196Q</t>
  </si>
  <si>
    <t>P.S. 85X</t>
  </si>
  <si>
    <t>23S-060</t>
  </si>
  <si>
    <t>LSP</t>
  </si>
  <si>
    <t>23S-061</t>
  </si>
  <si>
    <t>23S-062</t>
  </si>
  <si>
    <t>P.S. 30Q</t>
  </si>
  <si>
    <t>23S-063</t>
  </si>
  <si>
    <t>P.S. 176Q</t>
  </si>
  <si>
    <t>23S-064</t>
  </si>
  <si>
    <t>P.S. 11X</t>
  </si>
  <si>
    <t>23S-066</t>
  </si>
  <si>
    <t>P.S. 142K</t>
  </si>
  <si>
    <t>23S-067</t>
  </si>
  <si>
    <t>P.S. 111K</t>
  </si>
  <si>
    <t>23S-068</t>
  </si>
  <si>
    <t>23S-069</t>
  </si>
  <si>
    <t>K445 NEW UTRECHT</t>
  </si>
  <si>
    <t>P.S. 29Q</t>
  </si>
  <si>
    <t>D018318</t>
  </si>
  <si>
    <t>P.S. 217Q</t>
  </si>
  <si>
    <t>D021615</t>
  </si>
  <si>
    <t>P.S. 335K</t>
  </si>
  <si>
    <t>P.S. 22Q</t>
  </si>
  <si>
    <t>P.S. 53R</t>
  </si>
  <si>
    <t>23S-076</t>
  </si>
  <si>
    <t>P.S. 193Q</t>
  </si>
  <si>
    <t>P.S. 38Q</t>
  </si>
  <si>
    <t>P.S. 169M</t>
  </si>
  <si>
    <t>P025923</t>
  </si>
  <si>
    <t>P.S. 287K</t>
  </si>
  <si>
    <t>23S-080</t>
  </si>
  <si>
    <t>P.S. 40P</t>
  </si>
  <si>
    <t>23S-081</t>
  </si>
  <si>
    <t>K804 JOHN JAY</t>
  </si>
  <si>
    <t>23S-082</t>
  </si>
  <si>
    <t>P.S. 146X</t>
  </si>
  <si>
    <t>23S-083</t>
  </si>
  <si>
    <t>P.S. 804K</t>
  </si>
  <si>
    <t>23S-084</t>
  </si>
  <si>
    <t>P.S. 150K</t>
  </si>
  <si>
    <t>23S-085</t>
  </si>
  <si>
    <t>P.S. 5X</t>
  </si>
  <si>
    <t>23S-086</t>
  </si>
  <si>
    <t>P.S. 173Q</t>
  </si>
  <si>
    <t>P.S. 110K</t>
  </si>
  <si>
    <t>23S-088</t>
  </si>
  <si>
    <t>P.S. 116Q</t>
  </si>
  <si>
    <t>23S-089</t>
  </si>
  <si>
    <t>Q060</t>
  </si>
  <si>
    <t>23S-090</t>
  </si>
  <si>
    <t>23S-091</t>
  </si>
  <si>
    <t>Q041</t>
  </si>
  <si>
    <t>23S-092</t>
  </si>
  <si>
    <t>R014</t>
  </si>
  <si>
    <t>23S-093</t>
  </si>
  <si>
    <t>23S-094</t>
  </si>
  <si>
    <t>M022</t>
  </si>
  <si>
    <t>23S-095</t>
  </si>
  <si>
    <t>23S-096</t>
  </si>
  <si>
    <t>R057</t>
  </si>
  <si>
    <t>23S-097</t>
  </si>
  <si>
    <t>M475</t>
  </si>
  <si>
    <t>23S-098</t>
  </si>
  <si>
    <t>23S-099</t>
  </si>
  <si>
    <t>Q425</t>
  </si>
  <si>
    <t>23S-100</t>
  </si>
  <si>
    <t>M081</t>
  </si>
  <si>
    <t>23S-101</t>
  </si>
  <si>
    <t>M197</t>
  </si>
  <si>
    <t>23S-102</t>
  </si>
  <si>
    <t>23S-104</t>
  </si>
  <si>
    <t>23S-105</t>
  </si>
  <si>
    <t>23S-107</t>
  </si>
  <si>
    <t>23S-108</t>
  </si>
  <si>
    <t>Q122</t>
  </si>
  <si>
    <t>23S-109</t>
  </si>
  <si>
    <t>23S-111</t>
  </si>
  <si>
    <t>23S-112</t>
  </si>
  <si>
    <t>Q193</t>
  </si>
  <si>
    <t>23S-113</t>
  </si>
  <si>
    <t>23S-115</t>
  </si>
  <si>
    <t>23S-116</t>
  </si>
  <si>
    <t>R435 New Dorp HS</t>
  </si>
  <si>
    <t>23S-117</t>
  </si>
  <si>
    <t>23S-118</t>
  </si>
  <si>
    <t>D021531</t>
  </si>
  <si>
    <t>23S-119</t>
  </si>
  <si>
    <t>M844</t>
  </si>
  <si>
    <t>23S-120</t>
  </si>
  <si>
    <t>Safe Access</t>
  </si>
  <si>
    <t>23S-121</t>
  </si>
  <si>
    <t>23S-122</t>
  </si>
  <si>
    <t>23S-123</t>
  </si>
  <si>
    <t>K260</t>
  </si>
  <si>
    <t>23S-124</t>
  </si>
  <si>
    <t>23S-125</t>
  </si>
  <si>
    <t>K276</t>
  </si>
  <si>
    <t>23S-126</t>
  </si>
  <si>
    <t>K279</t>
  </si>
  <si>
    <t>23S-127</t>
  </si>
  <si>
    <t>R049</t>
  </si>
  <si>
    <t>23S-128</t>
  </si>
  <si>
    <t>23S-129</t>
  </si>
  <si>
    <t>LSP / CIP</t>
  </si>
  <si>
    <t>23S-130</t>
  </si>
  <si>
    <t>23S-131</t>
  </si>
  <si>
    <t>23S-133</t>
  </si>
  <si>
    <t>23S-134</t>
  </si>
  <si>
    <t>23S-135</t>
  </si>
  <si>
    <t>K615</t>
  </si>
  <si>
    <t>23S-136</t>
  </si>
  <si>
    <t>23S-137</t>
  </si>
  <si>
    <t xml:space="preserve">1ST FL &amp; BSMNT </t>
  </si>
  <si>
    <t>1ST FL MAIN EXIT</t>
  </si>
  <si>
    <t>BSMNT - CRAWL SPACE</t>
  </si>
  <si>
    <t>24-06-219</t>
  </si>
  <si>
    <t>24-06-244</t>
  </si>
  <si>
    <t>24-06-245</t>
  </si>
  <si>
    <t>24-06-243</t>
  </si>
  <si>
    <t>24-06-030</t>
  </si>
  <si>
    <t>RM 107</t>
  </si>
  <si>
    <t>RM 114, 204</t>
  </si>
  <si>
    <t>25-01-722</t>
  </si>
  <si>
    <t>25-02-022</t>
  </si>
  <si>
    <t>25-02-023</t>
  </si>
  <si>
    <t>25-02-021</t>
  </si>
  <si>
    <t>25-02-001</t>
  </si>
  <si>
    <t>25-02-135</t>
  </si>
  <si>
    <t>RM 204</t>
  </si>
  <si>
    <t>25-02-191</t>
  </si>
  <si>
    <t>25-02-189</t>
  </si>
  <si>
    <t>25-02-192</t>
  </si>
  <si>
    <t>25-02-188</t>
  </si>
  <si>
    <t>25-02-187</t>
  </si>
  <si>
    <t>PCM (6HRS)</t>
  </si>
  <si>
    <t>PCM (24HRS)</t>
  </si>
  <si>
    <t>PCM(lHR)</t>
  </si>
  <si>
    <t>PCM (lHR)</t>
  </si>
  <si>
    <t>P24-08-182</t>
  </si>
  <si>
    <t>P24-08-184</t>
  </si>
  <si>
    <t>P24-08-240</t>
  </si>
  <si>
    <t>P24-08-304</t>
  </si>
  <si>
    <t>P24-08-414</t>
  </si>
  <si>
    <t>P24-08-470</t>
  </si>
  <si>
    <t>P24-08-471</t>
  </si>
  <si>
    <t>P24-08-472</t>
  </si>
  <si>
    <t>P24-08-541</t>
  </si>
  <si>
    <t>P24-08-542</t>
  </si>
  <si>
    <t>P24-08-543</t>
  </si>
  <si>
    <t>P24-08-7SS</t>
  </si>
  <si>
    <t>P24-08-850</t>
  </si>
  <si>
    <t>P24-08-851</t>
  </si>
  <si>
    <t>P24-08-852</t>
  </si>
  <si>
    <t>P24-08-906</t>
  </si>
  <si>
    <t>P24-08-907</t>
  </si>
  <si>
    <t>P24-08-908</t>
  </si>
  <si>
    <t>P24-08- l246</t>
  </si>
  <si>
    <t>P24-08-1248</t>
  </si>
  <si>
    <t>P24-08-1249</t>
  </si>
  <si>
    <t>P24-08-1250</t>
  </si>
  <si>
    <t>P24-08- l 292</t>
  </si>
  <si>
    <t>P24-08-1293</t>
  </si>
  <si>
    <t>P24-08-1294</t>
  </si>
  <si>
    <t>23-07-997</t>
  </si>
  <si>
    <t>23-07-287</t>
  </si>
  <si>
    <t>23-07-254</t>
  </si>
  <si>
    <t>23-07-251</t>
  </si>
  <si>
    <t>23-07-253</t>
  </si>
  <si>
    <t>23-07-286</t>
  </si>
  <si>
    <t>23-07-285</t>
  </si>
  <si>
    <t>23-07-252</t>
  </si>
  <si>
    <t>23-07-284</t>
  </si>
  <si>
    <t>23-07-966</t>
  </si>
  <si>
    <t>23-07-967</t>
  </si>
  <si>
    <t>23-07-998</t>
  </si>
  <si>
    <t>23-07-996</t>
  </si>
  <si>
    <t>23-07-248</t>
  </si>
  <si>
    <t>23-07-288</t>
  </si>
  <si>
    <t>23-07-968</t>
  </si>
  <si>
    <t>23-07-898</t>
  </si>
  <si>
    <t>23-07-899</t>
  </si>
  <si>
    <t>23-07-220</t>
  </si>
  <si>
    <t>LTS INCREASED PRICE OF TEM-AIR FROM $40 TO $50</t>
  </si>
  <si>
    <t>25S-078</t>
  </si>
  <si>
    <t>23-13-037</t>
  </si>
  <si>
    <t>24-07-015</t>
  </si>
  <si>
    <t>24-07-028</t>
  </si>
  <si>
    <t>24-07-084</t>
  </si>
  <si>
    <t>24-07-085</t>
  </si>
  <si>
    <t>24-07-086</t>
  </si>
  <si>
    <t>23-12-844</t>
  </si>
  <si>
    <t>Column1</t>
  </si>
  <si>
    <t>CONTRACT #</t>
  </si>
  <si>
    <t>Row Labels</t>
  </si>
  <si>
    <t>Grand Total</t>
  </si>
  <si>
    <t>22-11-047-PL</t>
  </si>
  <si>
    <t>24-07-105-PL</t>
  </si>
  <si>
    <t>25-03-240-PL</t>
  </si>
  <si>
    <t>23-02-121-PL</t>
  </si>
  <si>
    <t>23-02-121-SP</t>
  </si>
  <si>
    <t>23-07-198-PL</t>
  </si>
  <si>
    <t>23-09-031-PL</t>
  </si>
  <si>
    <t>231007-18-PL</t>
  </si>
  <si>
    <t>24-05-108-PL</t>
  </si>
  <si>
    <t>25-02-190-PL</t>
  </si>
  <si>
    <t>25-03-155-PL</t>
  </si>
  <si>
    <t>241006-4-PL</t>
  </si>
  <si>
    <t>25-04-069-PL</t>
  </si>
  <si>
    <t>25-03-098-PL</t>
  </si>
  <si>
    <t>12-129-001-PN</t>
  </si>
  <si>
    <t>22-11-047-PN</t>
  </si>
  <si>
    <t>23-02-121-PN</t>
  </si>
  <si>
    <t>23-04-043-PN</t>
  </si>
  <si>
    <t>23-07-198-PN</t>
  </si>
  <si>
    <t>23-09-031-PN</t>
  </si>
  <si>
    <t>231007-18-PN</t>
  </si>
  <si>
    <t>25-03-155-PN</t>
  </si>
  <si>
    <t>241006-4-PN</t>
  </si>
  <si>
    <t>25-03-098-PN</t>
  </si>
  <si>
    <t>25-04-069-PN</t>
  </si>
  <si>
    <t>12-129-001-TN</t>
  </si>
  <si>
    <t>22-11-047-TN</t>
  </si>
  <si>
    <t>23-02-121-TN</t>
  </si>
  <si>
    <t>23-04-043-TN</t>
  </si>
  <si>
    <t>23-07-198-TN</t>
  </si>
  <si>
    <t>23-09-031-TN</t>
  </si>
  <si>
    <t>231007-18-TN</t>
  </si>
  <si>
    <t>25-03-155-TN</t>
  </si>
  <si>
    <t>241006-4-TN</t>
  </si>
  <si>
    <t>25-03-098-TN</t>
  </si>
  <si>
    <t>25-04-069-TN</t>
  </si>
  <si>
    <t>LAB COST</t>
  </si>
  <si>
    <t>SAMPLE_TYPE</t>
  </si>
  <si>
    <t>Facility</t>
  </si>
  <si>
    <t>Code</t>
  </si>
  <si>
    <t>SCA_Lab_Charge</t>
  </si>
  <si>
    <t>12-129-001-PL</t>
  </si>
  <si>
    <t>(blank)</t>
  </si>
  <si>
    <t>Total_Labor_Cost</t>
  </si>
  <si>
    <t>Total_SCA_Lab_Charge</t>
  </si>
  <si>
    <t>Total_Lab_Cost</t>
  </si>
  <si>
    <t>Gross_Margin</t>
  </si>
  <si>
    <t>Gross_Margin_Pct</t>
  </si>
  <si>
    <t>Total_Billed_Labor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</si>
</sst>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00"/>
    <numFmt numFmtId="165" formatCode="&quot;$&quot;#,##0.00"/>
    <numFmt numFmtId="166" formatCode="0.0"/>
    <numFmt numFmtId="167" formatCode="mm/dd/yyyy"/>
    <numFmt numFmtId="168" formatCode="#,##0.00;\-#,##0.00"/>
  </numFmts>
  <fonts count="10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Calibri"/>
      <family val="2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8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/>
    </xf>
    <xf numFmtId="167" fontId="5" fillId="0" borderId="0" xfId="0" applyNumberFormat="1" applyFont="1"/>
    <xf numFmtId="49" fontId="5" fillId="0" borderId="0" xfId="0" applyNumberFormat="1" applyFont="1"/>
    <xf numFmtId="168" fontId="5" fillId="0" borderId="0" xfId="0" applyNumberFormat="1" applyFont="1"/>
    <xf numFmtId="0" fontId="6" fillId="0" borderId="0" xfId="0" applyFont="1" applyAlignment="1">
      <alignment vertical="top"/>
    </xf>
    <xf numFmtId="1" fontId="7" fillId="0" borderId="0" xfId="0" applyNumberFormat="1" applyFont="1" applyAlignment="1">
      <alignment vertical="top" shrinkToFit="1"/>
    </xf>
    <xf numFmtId="166" fontId="0" fillId="0" borderId="0" xfId="0" applyNumberFormat="1" applyAlignment="1">
      <alignment horizontal="center"/>
    </xf>
    <xf numFmtId="0" fontId="9" fillId="0" borderId="0" xfId="1" applyFont="1"/>
    <xf numFmtId="164" fontId="8" fillId="0" borderId="0" xfId="1" applyNumberFormat="1" applyFont="1"/>
    <xf numFmtId="165" fontId="8" fillId="0" borderId="0" xfId="1" applyNumberFormat="1" applyFont="1"/>
    <xf numFmtId="14" fontId="8" fillId="0" borderId="0" xfId="1" applyNumberFormat="1" applyFont="1"/>
    <xf numFmtId="166" fontId="8" fillId="0" borderId="0" xfId="1" applyNumberFormat="1" applyFont="1" applyAlignment="1">
      <alignment horizontal="center"/>
    </xf>
    <xf numFmtId="0" fontId="8" fillId="0" borderId="0" xfId="1" applyFont="1" applyAlignment="1">
      <alignment horizontal="right"/>
    </xf>
    <xf numFmtId="166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8" fillId="0" borderId="0" xfId="1" applyFont="1"/>
    <xf numFmtId="8" fontId="0" fillId="0" borderId="0" xfId="0" applyNumberFormat="1" applyAlignment="1">
      <alignment horizontal="right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3">
    <cellStyle name="Normal" xfId="0" builtinId="0"/>
    <cellStyle name="Normal 2" xfId="1" xr:uid="{3DC3A9B3-5EEF-46A6-81AA-267C94C028ED}"/>
    <cellStyle name="Normal 3" xfId="2" xr:uid="{9511B838-F5D4-4B51-9556-5682A806C0E2}"/>
  </cellStyles>
  <dxfs count="27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23232"/>
        <name val="Arial"/>
        <family val="2"/>
        <scheme val="none"/>
      </font>
      <numFmt numFmtId="168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23232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23232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23232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23232"/>
        <name val="Arial"/>
        <family val="2"/>
        <scheme val="none"/>
      </font>
      <numFmt numFmtId="167" formatCode="mm/d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23232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323232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numFmt numFmtId="165" formatCode="&quot;$&quot;#,##0.0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19" formatCode="m/d/yyyy"/>
    </dxf>
    <dxf>
      <numFmt numFmtId="165" formatCode="&quot;$&quot;#,##0.00"/>
    </dxf>
    <dxf>
      <numFmt numFmtId="164" formatCode="00"/>
    </dxf>
    <dxf>
      <font>
        <b val="0"/>
      </font>
    </dxf>
    <dxf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general" vertical="top" textRotation="0" wrapText="0" indent="0" justifyLastLine="0" shrinkToFit="1" readingOrder="0"/>
    </dxf>
    <dxf>
      <numFmt numFmtId="19" formatCode="m/d/yyyy"/>
      <alignment horizontal="right" vertical="bottom" textRotation="0" wrapText="0" indent="0" justifyLastLine="0" shrinkToFit="0" readingOrder="0"/>
    </dxf>
    <dxf>
      <numFmt numFmtId="19" formatCode="m/d/yyyy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eception\Desktop\OTHER\PROJECT\MINI%20PROJECT%20LEARNING\MINI%20PROJECT%20LEARNING.xlsx" TargetMode="External"/><Relationship Id="rId1" Type="http://schemas.openxmlformats.org/officeDocument/2006/relationships/externalLinkPath" Target="PROJECT/MINI%20PROJECT%20LEARNING/MINI%20PROJECT%20LEAR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ni Analysis"/>
      <sheetName val="Sheet1"/>
      <sheetName val="DATA - MINI PROJECTS ALL"/>
      <sheetName val="MINI PROJECT INSTRUCTIONS"/>
    </sheetNames>
    <sheetDataSet>
      <sheetData sheetId="0">
        <row r="7">
          <cell r="E7" t="str">
            <v>Gender</v>
          </cell>
          <cell r="F7" t="str">
            <v>Age</v>
          </cell>
          <cell r="G7" t="str">
            <v>Sum of Avg_Order_Value</v>
          </cell>
        </row>
        <row r="8">
          <cell r="E8" t="str">
            <v>F</v>
          </cell>
          <cell r="F8">
            <v>22</v>
          </cell>
          <cell r="G8">
            <v>110</v>
          </cell>
        </row>
        <row r="9">
          <cell r="F9">
            <v>23</v>
          </cell>
          <cell r="G9">
            <v>185</v>
          </cell>
        </row>
        <row r="10">
          <cell r="F10">
            <v>24</v>
          </cell>
          <cell r="G10">
            <v>270</v>
          </cell>
        </row>
        <row r="11">
          <cell r="F11">
            <v>25</v>
          </cell>
          <cell r="G11">
            <v>105</v>
          </cell>
        </row>
        <row r="12">
          <cell r="F12">
            <v>26</v>
          </cell>
          <cell r="G12">
            <v>165</v>
          </cell>
        </row>
        <row r="13">
          <cell r="F13">
            <v>27</v>
          </cell>
          <cell r="G13">
            <v>315</v>
          </cell>
        </row>
        <row r="14">
          <cell r="F14">
            <v>28</v>
          </cell>
          <cell r="G14">
            <v>330.2</v>
          </cell>
        </row>
        <row r="15">
          <cell r="F15">
            <v>29</v>
          </cell>
          <cell r="G15">
            <v>195</v>
          </cell>
        </row>
        <row r="16">
          <cell r="F16">
            <v>30</v>
          </cell>
          <cell r="G16">
            <v>200</v>
          </cell>
        </row>
        <row r="17">
          <cell r="F17">
            <v>31</v>
          </cell>
          <cell r="G17">
            <v>60</v>
          </cell>
        </row>
        <row r="18">
          <cell r="F18">
            <v>33</v>
          </cell>
          <cell r="G18">
            <v>85</v>
          </cell>
        </row>
        <row r="19">
          <cell r="F19">
            <v>39</v>
          </cell>
          <cell r="G19">
            <v>120</v>
          </cell>
        </row>
        <row r="20">
          <cell r="E20" t="str">
            <v>M</v>
          </cell>
          <cell r="F20">
            <v>29</v>
          </cell>
          <cell r="G20">
            <v>70</v>
          </cell>
        </row>
        <row r="21">
          <cell r="F21">
            <v>30</v>
          </cell>
          <cell r="G21">
            <v>85</v>
          </cell>
        </row>
        <row r="22">
          <cell r="F22">
            <v>31</v>
          </cell>
          <cell r="G22">
            <v>280</v>
          </cell>
        </row>
        <row r="23">
          <cell r="F23">
            <v>32</v>
          </cell>
          <cell r="G23">
            <v>165</v>
          </cell>
        </row>
        <row r="24">
          <cell r="F24">
            <v>33</v>
          </cell>
          <cell r="G24">
            <v>290</v>
          </cell>
        </row>
        <row r="25">
          <cell r="F25">
            <v>34</v>
          </cell>
          <cell r="G25">
            <v>270.5</v>
          </cell>
        </row>
        <row r="26">
          <cell r="F26">
            <v>35</v>
          </cell>
          <cell r="G26">
            <v>230</v>
          </cell>
        </row>
        <row r="27">
          <cell r="F27">
            <v>36</v>
          </cell>
          <cell r="G27">
            <v>300</v>
          </cell>
        </row>
        <row r="28">
          <cell r="F28">
            <v>37</v>
          </cell>
          <cell r="G28">
            <v>195</v>
          </cell>
        </row>
        <row r="29">
          <cell r="F29">
            <v>38</v>
          </cell>
          <cell r="G29">
            <v>235</v>
          </cell>
        </row>
        <row r="30">
          <cell r="F30">
            <v>40</v>
          </cell>
          <cell r="G30">
            <v>200</v>
          </cell>
        </row>
        <row r="31">
          <cell r="F31">
            <v>41</v>
          </cell>
          <cell r="G31">
            <v>55.3</v>
          </cell>
        </row>
      </sheetData>
      <sheetData sheetId="1" refreshError="1"/>
      <sheetData sheetId="2" refreshError="1"/>
      <sheetData sheetId="3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I Reception" refreshedDate="46020.569688541669" backgroundQuery="1" createdVersion="8" refreshedVersion="8" minRefreshableVersion="3" recordCount="0" supportSubquery="1" supportAdvancedDrill="1" xr:uid="{FFBA9BF9-188F-40B1-ADB9-33771C72FD35}">
  <cacheSource type="external" connectionId="1"/>
  <cacheFields count="7">
    <cacheField name="[tblJobs].[SAI FILE NO].[SAI FILE NO]" caption="SAI FILE NO" numFmtId="0" level="1">
      <sharedItems containsBlank="1" count="39">
        <s v="23S-002"/>
        <s v="23S-004"/>
        <s v="23S-006"/>
        <s v="23S-010"/>
        <s v="23S-013"/>
        <s v="23S-019"/>
        <s v="23S-024"/>
        <s v="23S-025"/>
        <s v="23S-026"/>
        <s v="23S-038"/>
        <s v="23S-042"/>
        <s v="23S-045"/>
        <s v="23S-052"/>
        <s v="23S-058"/>
        <s v="23S-059"/>
        <s v="23S-065"/>
        <s v="23S-072"/>
        <s v="23S-073"/>
        <s v="23S-074"/>
        <s v="23S-075"/>
        <s v="23S-078"/>
        <s v="23S-087"/>
        <s v="23S-103"/>
        <s v="23S-106"/>
        <s v="23S-110"/>
        <s v="23S-114"/>
        <s v="23S-138"/>
        <s v="24S-006"/>
        <s v="24S-007"/>
        <s v="24S-022"/>
        <s v="24S-032"/>
        <s v="24S-042"/>
        <s v="24S-055"/>
        <s v="24S-070"/>
        <s v="24S-084"/>
        <s v="24S-101"/>
        <s v="24S-111"/>
        <s v="25S-010"/>
        <m/>
      </sharedItems>
    </cacheField>
    <cacheField name="[Measures].[Total_SCA_Lab_Charge]" caption="Total_SCA_Lab_Charge" numFmtId="0" hierarchy="47" level="32767"/>
    <cacheField name="[Measures].[Total_Lab_Cost]" caption="Total_Lab_Cost" numFmtId="0" hierarchy="48" level="32767"/>
    <cacheField name="[Measures].[Gross_Margin]" caption="Gross_Margin" numFmtId="0" hierarchy="49" level="32767"/>
    <cacheField name="[Measures].[Gross_Margin_Pct]" caption="Gross_Margin_Pct" numFmtId="0" hierarchy="50" level="32767"/>
    <cacheField name="[Measures].[Total_Labor_Cost]" caption="Total_Labor_Cost" numFmtId="0" hierarchy="45" level="32767"/>
    <cacheField name="[Measures].[Total_Billed_Labor]" caption="Total_Billed_Labor" numFmtId="0" hierarchy="46" level="32767"/>
  </cacheFields>
  <cacheHierarchies count="57">
    <cacheHierarchy uniqueName="[tblJobs].[SAI FILE NO]" caption="SAI FILE NO" attribute="1" defaultMemberUniqueName="[tblJobs].[SAI FILE NO].[All]" allUniqueName="[tblJobs].[SAI FILE NO].[All]" dimensionUniqueName="[tblJobs]" displayFolder="" count="2" memberValueDatatype="130" unbalanced="0">
      <fieldsUsage count="2">
        <fieldUsage x="-1"/>
        <fieldUsage x="0"/>
      </fieldsUsage>
    </cacheHierarchy>
    <cacheHierarchy uniqueName="[tblJobs].[BID]" caption="BID" attribute="1" defaultMemberUniqueName="[tblJobs].[BID].[All]" allUniqueName="[tblJobs].[BID].[All]" dimensionUniqueName="[tblJobs]" displayFolder="" count="0" memberValueDatatype="130" unbalanced="0"/>
    <cacheHierarchy uniqueName="[tblJobs].[PROJECT DESCRIPTION]" caption="PROJECT DESCRIPTION" attribute="1" defaultMemberUniqueName="[tblJobs].[PROJECT DESCRIPTION].[All]" allUniqueName="[tblJobs].[PROJECT DESCRIPTION].[All]" dimensionUniqueName="[tblJobs]" displayFolder="" count="0" memberValueDatatype="130" unbalanced="0"/>
    <cacheHierarchy uniqueName="[tblJobs].[SCA SERVICE ID NO.]" caption="SCA SERVICE ID NO." attribute="1" defaultMemberUniqueName="[tblJobs].[SCA SERVICE ID NO.].[All]" allUniqueName="[tblJobs].[SCA SERVICE ID NO.].[All]" dimensionUniqueName="[tblJobs]" displayFolder="" count="0" memberValueDatatype="20" unbalanced="0"/>
    <cacheHierarchy uniqueName="[tblJobs].[SCA PROJECT ID NO.]" caption="SCA PROJECT ID NO." attribute="1" defaultMemberUniqueName="[tblJobs].[SCA PROJECT ID NO.].[All]" allUniqueName="[tblJobs].[SCA PROJECT ID NO.].[All]" dimensionUniqueName="[tblJobs]" displayFolder="" count="0" memberValueDatatype="130" unbalanced="0"/>
    <cacheHierarchy uniqueName="[tblLabPrices].[Code]" caption="Code" attribute="1" defaultMemberUniqueName="[tblLabPrices].[Code].[All]" allUniqueName="[tblLabPrices].[Code].[All]" dimensionUniqueName="[tblLabPrices]" displayFolder="" count="0" memberValueDatatype="130" unbalanced="0"/>
    <cacheHierarchy uniqueName="[tblLabPrices].[SAMPLE_TYPE]" caption="SAMPLE_TYPE" attribute="1" defaultMemberUniqueName="[tblLabPrices].[SAMPLE_TYPE].[All]" allUniqueName="[tblLabPrices].[SAMPLE_TYPE].[All]" dimensionUniqueName="[tblLabPrices]" displayFolder="" count="0" memberValueDatatype="130" unbalanced="0"/>
    <cacheHierarchy uniqueName="[tblLabPrices].[LTS]" caption="LTS" attribute="1" defaultMemberUniqueName="[tblLabPrices].[LTS].[All]" allUniqueName="[tblLabPrices].[LTS].[All]" dimensionUniqueName="[tblLabPrices]" displayFolder="" count="0" memberValueDatatype="20" unbalanced="0"/>
    <cacheHierarchy uniqueName="[tblLabPrices].[ALLAB]" caption="ALLAB" attribute="1" defaultMemberUniqueName="[tblLabPrices].[ALLAB].[All]" allUniqueName="[tblLabPrices].[ALLAB].[All]" dimensionUniqueName="[tblLabPrices]" displayFolder="" count="0" memberValueDatatype="5" unbalanced="0"/>
    <cacheHierarchy uniqueName="[tblLabPrices].[ATC]" caption="ATC" attribute="1" defaultMemberUniqueName="[tblLabPrices].[ATC].[All]" allUniqueName="[tblLabPrices].[ATC].[All]" dimensionUniqueName="[tblLabPrices]" displayFolder="" count="0" memberValueDatatype="20" unbalanced="0"/>
    <cacheHierarchy uniqueName="[tblLabPrices].[KAM]" caption="KAM" attribute="1" defaultMemberUniqueName="[tblLabPrices].[KAM].[All]" allUniqueName="[tblLabPrices].[KAM].[All]" dimensionUniqueName="[tblLabPrices]" displayFolder="" count="0" memberValueDatatype="20" unbalanced="0"/>
    <cacheHierarchy uniqueName="[tblLabPrices].[SCA_FEE_SCHED]" caption="SCA_FEE_SCHED" attribute="1" defaultMemberUniqueName="[tblLabPrices].[SCA_FEE_SCHED].[All]" allUniqueName="[tblLabPrices].[SCA_FEE_SCHED].[All]" dimensionUniqueName="[tblLabPrices]" displayFolder="" count="0" memberValueDatatype="20" unbalanced="0"/>
    <cacheHierarchy uniqueName="[tblLabs].[JOBID]" caption="JOBID" attribute="1" defaultMemberUniqueName="[tblLabs].[JOBID].[All]" allUniqueName="[tblLabs].[JOBID].[All]" dimensionUniqueName="[tblLabs]" displayFolder="" count="0" memberValueDatatype="130" unbalanced="0"/>
    <cacheHierarchy uniqueName="[tblLabs].[BID]" caption="BID" attribute="1" defaultMemberUniqueName="[tblLabs].[BID].[All]" allUniqueName="[tblLabs].[BID].[All]" dimensionUniqueName="[tblLabs]" displayFolder="" count="0" memberValueDatatype="130" unbalanced="0"/>
    <cacheHierarchy uniqueName="[tblLabs].[COUNT]" caption="COUNT" attribute="1" defaultMemberUniqueName="[tblLabs].[COUNT].[All]" allUniqueName="[tblLabs].[COUNT].[All]" dimensionUniqueName="[tblLabs]" displayFolder="" count="0" memberValueDatatype="20" unbalanced="0"/>
    <cacheHierarchy uniqueName="[tblLabs].[BATCH NO]" caption="BATCH NO" attribute="1" defaultMemberUniqueName="[tblLabs].[BATCH NO].[All]" allUniqueName="[tblLabs].[BATCH NO].[All]" dimensionUniqueName="[tblLabs]" displayFolder="" count="0" memberValueDatatype="130" unbalanced="0"/>
    <cacheHierarchy uniqueName="[tblLabs].[SAMPLE TYPE]" caption="SAMPLE TYPE" attribute="1" defaultMemberUniqueName="[tblLabs].[SAMPLE TYPE].[All]" allUniqueName="[tblLabs].[SAMPLE TYPE].[All]" dimensionUniqueName="[tblLabs]" displayFolder="" count="0" memberValueDatatype="130" unbalanced="0"/>
    <cacheHierarchy uniqueName="[tblLabs].[Code]" caption="Code" attribute="1" defaultMemberUniqueName="[tblLabs].[Code].[All]" allUniqueName="[tblLabs].[Code].[All]" dimensionUniqueName="[tblLabs]" displayFolder="" count="0" memberValueDatatype="130" unbalanced="0"/>
    <cacheHierarchy uniqueName="[tblLabs].[DATE COLLECTED]" caption="DATE COLLECTED" attribute="1" time="1" defaultMemberUniqueName="[tblLabs].[DATE COLLECTED].[All]" allUniqueName="[tblLabs].[DATE COLLECTED].[All]" dimensionUniqueName="[tblLabs]" displayFolder="" count="0" memberValueDatatype="7" unbalanced="0"/>
    <cacheHierarchy uniqueName="[tblLabs].[TECHNICIAN]" caption="TECHNICIAN" attribute="1" defaultMemberUniqueName="[tblLabs].[TECHNICIAN].[All]" allUniqueName="[tblLabs].[TECHNICIAN].[All]" dimensionUniqueName="[tblLabs]" displayFolder="" count="0" memberValueDatatype="130" unbalanced="0"/>
    <cacheHierarchy uniqueName="[tblLabs].[LOCATION]" caption="LOCATION" attribute="1" defaultMemberUniqueName="[tblLabs].[LOCATION].[All]" allUniqueName="[tblLabs].[LOCATION].[All]" dimensionUniqueName="[tblLabs]" displayFolder="" count="0" memberValueDatatype="130" unbalanced="0"/>
    <cacheHierarchy uniqueName="[tblLabs].[Facility]" caption="Facility" attribute="1" defaultMemberUniqueName="[tblLabs].[Facility].[All]" allUniqueName="[tblLabs].[Facility].[All]" dimensionUniqueName="[tblLabs]" displayFolder="" count="0" memberValueDatatype="130" unbalanced="0"/>
    <cacheHierarchy uniqueName="[tblLabs].[LAB COST]" caption="LAB COST" attribute="1" defaultMemberUniqueName="[tblLabs].[LAB COST].[All]" allUniqueName="[tblLabs].[LAB COST].[All]" dimensionUniqueName="[tblLabs]" displayFolder="" count="0" memberValueDatatype="5" unbalanced="0"/>
    <cacheHierarchy uniqueName="[tblLabs].[SCA_Lab_Charge]" caption="SCA_Lab_Charge" attribute="1" defaultMemberUniqueName="[tblLabs].[SCA_Lab_Charge].[All]" allUniqueName="[tblLabs].[SCA_Lab_Charge].[All]" dimensionUniqueName="[tblLabs]" displayFolder="" count="0" memberValueDatatype="20" unbalanced="0"/>
    <cacheHierarchy uniqueName="[tblPayroll].[EMPLOYEE_NAME]" caption="EMPLOYEE_NAME" attribute="1" defaultMemberUniqueName="[tblPayroll].[EMPLOYEE_NAME].[All]" allUniqueName="[tblPayroll].[EMPLOYEE_NAME].[All]" dimensionUniqueName="[tblPayroll]" displayFolder="" count="0" memberValueDatatype="130" unbalanced="0"/>
    <cacheHierarchy uniqueName="[tblPayroll].[CODE]" caption="CODE" attribute="1" defaultMemberUniqueName="[tblPayroll].[CODE].[All]" allUniqueName="[tblPayroll].[CODE].[All]" dimensionUniqueName="[tblPayroll]" displayFolder="" count="0" memberValueDatatype="20" unbalanced="0"/>
    <cacheHierarchy uniqueName="[tblPayroll].[HOURLY_RATE]" caption="HOURLY_RATE" attribute="1" defaultMemberUniqueName="[tblPayroll].[HOURLY_RATE].[All]" allUniqueName="[tblPayroll].[HOURLY_RATE].[All]" dimensionUniqueName="[tblPayroll]" displayFolder="" count="0" memberValueDatatype="20" unbalanced="0"/>
    <cacheHierarchy uniqueName="[tblPayroll].[WEEK_PAID]" caption="WEEK_PAID" attribute="1" time="1" defaultMemberUniqueName="[tblPayroll].[WEEK_PAID].[All]" allUniqueName="[tblPayroll].[WEEK_PAID].[All]" dimensionUniqueName="[tblPayroll]" displayFolder="" count="0" memberValueDatatype="7" unbalanced="0"/>
    <cacheHierarchy uniqueName="[tblPayroll].[DATE_WORKED]" caption="DATE_WORKED" attribute="1" time="1" defaultMemberUniqueName="[tblPayroll].[DATE_WORKED].[All]" allUniqueName="[tblPayroll].[DATE_WORKED].[All]" dimensionUniqueName="[tblPayroll]" displayFolder="" count="0" memberValueDatatype="7" unbalanced="0"/>
    <cacheHierarchy uniqueName="[tblPayroll].[WEEK ENDING DATE]" caption="WEEK ENDING DATE" attribute="1" time="1" defaultMemberUniqueName="[tblPayroll].[WEEK ENDING DATE].[All]" allUniqueName="[tblPayroll].[WEEK ENDING DATE].[All]" dimensionUniqueName="[tblPayroll]" displayFolder="" count="0" memberValueDatatype="7" unbalanced="0"/>
    <cacheHierarchy uniqueName="[tblPayroll].[HOURS_WORKED]" caption="HOURS_WORKED" attribute="1" defaultMemberUniqueName="[tblPayroll].[HOURS_WORKED].[All]" allUniqueName="[tblPayroll].[HOURS_WORKED].[All]" dimensionUniqueName="[tblPayroll]" displayFolder="" count="0" memberValueDatatype="5" unbalanced="0"/>
    <cacheHierarchy uniqueName="[tblPayroll].[JOB_TYPE]" caption="JOB_TYPE" attribute="1" defaultMemberUniqueName="[tblPayroll].[JOB_TYPE].[All]" allUniqueName="[tblPayroll].[JOB_TYPE].[All]" dimensionUniqueName="[tblPayroll]" displayFolder="" count="0" memberValueDatatype="130" unbalanced="0"/>
    <cacheHierarchy uniqueName="[tblPayroll].[JOBID]" caption="JOBID" attribute="1" defaultMemberUniqueName="[tblPayroll].[JOBID].[All]" allUniqueName="[tblPayroll].[JOBID].[All]" dimensionUniqueName="[tblPayroll]" displayFolder="" count="0" memberValueDatatype="130" unbalanced="0"/>
    <cacheHierarchy uniqueName="[tblPayroll].[BID]" caption="BID" attribute="1" defaultMemberUniqueName="[tblPayroll].[BID].[All]" allUniqueName="[tblPayroll].[BID].[All]" dimensionUniqueName="[tblPayroll]" displayFolder="" count="0" memberValueDatatype="130" unbalanced="0"/>
    <cacheHierarchy uniqueName="[tblPayroll].[EXPENSES]" caption="EXPENSES" attribute="1" defaultMemberUniqueName="[tblPayroll].[EXPENSES].[All]" allUniqueName="[tblPayroll].[EXPENSES].[All]" dimensionUniqueName="[tblPayroll]" displayFolder="" count="0" memberValueDatatype="5" unbalanced="0"/>
    <cacheHierarchy uniqueName="[tblPayroll].[NOTE]" caption="NOTE" attribute="1" defaultMemberUniqueName="[tblPayroll].[NOTE].[All]" allUniqueName="[tblPayroll].[NOTE].[All]" dimensionUniqueName="[tblPayroll]" displayFolder="" count="0" memberValueDatatype="130" unbalanced="0"/>
    <cacheHierarchy uniqueName="[tblPayroll].[LABOR COST]" caption="LABOR COST" attribute="1" defaultMemberUniqueName="[tblPayroll].[LABOR COST].[All]" allUniqueName="[tblPayroll].[LABOR COST].[All]" dimensionUniqueName="[tblPayroll]" displayFolder="" count="0" memberValueDatatype="5" unbalanced="0"/>
    <cacheHierarchy uniqueName="[tblPayroll].[SCA_RATE]" caption="SCA_RATE" attribute="1" defaultMemberUniqueName="[tblPayroll].[SCA_RATE].[All]" allUniqueName="[tblPayroll].[SCA_RATE].[All]" dimensionUniqueName="[tblPayroll]" displayFolder="" count="0" memberValueDatatype="5" unbalanced="0"/>
    <cacheHierarchy uniqueName="[tblPayroll].[BILLED LABOR]" caption="BILLED LABOR" attribute="1" defaultMemberUniqueName="[tblPayroll].[BILLED LABOR].[All]" allUniqueName="[tblPayroll].[BILLED LABOR].[All]" dimensionUniqueName="[tblPayroll]" displayFolder="" count="0" memberValueDatatype="5" unbalanced="0"/>
    <cacheHierarchy uniqueName="[tblReoccupancy].[JOBID]" caption="JOBID" attribute="1" defaultMemberUniqueName="[tblReoccupancy].[JOBID].[All]" allUniqueName="[tblReoccupancy].[JOBID].[All]" dimensionUniqueName="[tblReoccupancy]" displayFolder="" count="0" memberValueDatatype="130" unbalanced="0"/>
    <cacheHierarchy uniqueName="[tblReoccupancy].[BID]" caption="BID" attribute="1" defaultMemberUniqueName="[tblReoccupancy].[BID].[All]" allUniqueName="[tblReoccupancy].[BID].[All]" dimensionUniqueName="[tblReoccupancy]" displayFolder="" count="0" memberValueDatatype="130" unbalanced="0"/>
    <cacheHierarchy uniqueName="[tblReoccupancy].[START_DATE]" caption="START_DATE" attribute="1" time="1" defaultMemberUniqueName="[tblReoccupancy].[START_DATE].[All]" allUniqueName="[tblReoccupancy].[START_DATE].[All]" dimensionUniqueName="[tblReoccupancy]" displayFolder="" count="0" memberValueDatatype="7" unbalanced="0"/>
    <cacheHierarchy uniqueName="[tblReoccupancy].[END_DATE]" caption="END_DATE" attribute="1" defaultMemberUniqueName="[tblReoccupancy].[END_DATE].[All]" allUniqueName="[tblReoccupancy].[END_DATE].[All]" dimensionUniqueName="[tblReoccupancy]" displayFolder="" count="0" memberValueDatatype="130" unbalanced="0"/>
    <cacheHierarchy uniqueName="[tblReoccupancy].[LOCATION]" caption="LOCATION" attribute="1" defaultMemberUniqueName="[tblReoccupancy].[LOCATION].[All]" allUniqueName="[tblReoccupancy].[LOCATION].[All]" dimensionUniqueName="[tblReoccupancy]" displayFolder="" count="0" memberValueDatatype="130" unbalanced="0"/>
    <cacheHierarchy uniqueName="[tblReoccupancy].[AMT_OF_ACM]" caption="AMT_OF_ACM" attribute="1" defaultMemberUniqueName="[tblReoccupancy].[AMT_OF_ACM].[All]" allUniqueName="[tblReoccupancy].[AMT_OF_ACM].[All]" dimensionUniqueName="[tblReoccupancy]" displayFolder="" count="0" memberValueDatatype="20" unbalanced="0"/>
    <cacheHierarchy uniqueName="[Measures].[Total_Labor_Cost]" caption="Total_Labor_Cost" measure="1" displayFolder="" measureGroup="tblPayroll" count="0" oneField="1">
      <fieldsUsage count="1">
        <fieldUsage x="5"/>
      </fieldsUsage>
    </cacheHierarchy>
    <cacheHierarchy uniqueName="[Measures].[Total_Billed_Labor]" caption="Total_Billed_Labor" measure="1" displayFolder="" measureGroup="tblPayroll" count="0" oneField="1">
      <fieldsUsage count="1">
        <fieldUsage x="6"/>
      </fieldsUsage>
    </cacheHierarchy>
    <cacheHierarchy uniqueName="[Measures].[Total_SCA_Lab_Charge]" caption="Total_SCA_Lab_Charge" measure="1" displayFolder="" measureGroup="tblLabs" count="0" oneField="1">
      <fieldsUsage count="1">
        <fieldUsage x="1"/>
      </fieldsUsage>
    </cacheHierarchy>
    <cacheHierarchy uniqueName="[Measures].[Total_Lab_Cost]" caption="Total_Lab_Cost" measure="1" displayFolder="" measureGroup="tblLabs" count="0" oneField="1">
      <fieldsUsage count="1">
        <fieldUsage x="2"/>
      </fieldsUsage>
    </cacheHierarchy>
    <cacheHierarchy uniqueName="[Measures].[Gross_Margin]" caption="Gross_Margin" measure="1" displayFolder="" measureGroup="tblLabs" count="0" oneField="1">
      <fieldsUsage count="1">
        <fieldUsage x="3"/>
      </fieldsUsage>
    </cacheHierarchy>
    <cacheHierarchy uniqueName="[Measures].[Gross_Margin_Pct]" caption="Gross_Margin_Pct" measure="1" displayFolder="" measureGroup="tblLabs" count="0" oneField="1">
      <fieldsUsage count="1">
        <fieldUsage x="4"/>
      </fieldsUsage>
    </cacheHierarchy>
    <cacheHierarchy uniqueName="[Measures].[__XL_Count tblJobs]" caption="__XL_Count tblJobs" measure="1" displayFolder="" measureGroup="tblJobs" count="0" hidden="1"/>
    <cacheHierarchy uniqueName="[Measures].[__XL_Count tblReoccupancy]" caption="__XL_Count tblReoccupancy" measure="1" displayFolder="" measureGroup="tblReoccupancy" count="0" hidden="1"/>
    <cacheHierarchy uniqueName="[Measures].[__XL_Count tblLabs]" caption="__XL_Count tblLabs" measure="1" displayFolder="" measureGroup="tblLabs" count="0" hidden="1"/>
    <cacheHierarchy uniqueName="[Measures].[__XL_Count tblPayroll]" caption="__XL_Count tblPayroll" measure="1" displayFolder="" measureGroup="tblPayroll" count="0" hidden="1"/>
    <cacheHierarchy uniqueName="[Measures].[__XL_Count tblLabPrices]" caption="__XL_Count tblLabPrices" measure="1" displayFolder="" measureGroup="tblLabPrices" count="0" hidden="1"/>
    <cacheHierarchy uniqueName="[Measures].[__No measures defined]" caption="__No measures defined" measure="1" displayFolder="" count="0" hidden="1"/>
  </cacheHierarchies>
  <kpis count="0"/>
  <dimensions count="6">
    <dimension measure="1" name="Measures" uniqueName="[Measures]" caption="Measures"/>
    <dimension name="tblJobs" uniqueName="[tblJobs]" caption="tblJobs"/>
    <dimension name="tblLabPrices" uniqueName="[tblLabPrices]" caption="tblLabPrices"/>
    <dimension name="tblLabs" uniqueName="[tblLabs]" caption="tblLabs"/>
    <dimension name="tblPayroll" uniqueName="[tblPayroll]" caption="tblPayroll"/>
    <dimension name="tblReoccupancy" uniqueName="[tblReoccupancy]" caption="tblReoccupancy"/>
  </dimensions>
  <measureGroups count="5">
    <measureGroup name="tblJobs" caption="tblJobs"/>
    <measureGroup name="tblLabPrices" caption="tblLabPrices"/>
    <measureGroup name="tblLabs" caption="tblLabs"/>
    <measureGroup name="tblPayroll" caption="tblPayroll"/>
    <measureGroup name="tblReoccupancy" caption="tblReoccupancy"/>
  </measureGroups>
  <maps count="8">
    <map measureGroup="0" dimension="1"/>
    <map measureGroup="1" dimension="2"/>
    <map measureGroup="2" dimension="1"/>
    <map measureGroup="2" dimension="3"/>
    <map measureGroup="3" dimension="1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9C3C7-8886-4B01-8C1F-8E2592DD5804}" name="PivotTable3" cacheId="57" applyNumberFormats="0" applyBorderFormats="0" applyFontFormats="0" applyPatternFormats="0" applyAlignmentFormats="0" applyWidthHeightFormats="1" dataCaption="Values" tag="c0719e52-ddc4-4914-b597-2ef3b12ea9c3" updatedVersion="8" minRefreshableVersion="3" useAutoFormatting="1" itemPrintTitles="1" createdVersion="8" indent="0" outline="1" outlineData="1" multipleFieldFilters="0">
  <location ref="A3:G43" firstHeaderRow="0" firstDataRow="1" firstDataCol="1"/>
  <pivotFields count="7">
    <pivotField axis="axisRow" allDrilled="1" subtotalTop="0" showAll="0" dataSourceSort="1" defaultSubtotal="0" defaultAttributeDrillState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2" subtotal="count" baseField="0" baseItem="0"/>
    <dataField fld="1" subtotal="count" baseField="0" baseItem="0"/>
    <dataField fld="5" subtotal="count" baseField="0" baseItem="0"/>
    <dataField fld="6" subtotal="count" baseField="0" baseItem="0"/>
    <dataField fld="3" subtotal="count" baseField="0" baseItem="0"/>
    <dataField fld="4" subtotal="count" baseField="0" baseItem="0"/>
  </dataField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Jobs]"/>
        <x15:activeTabTopLevelEntity name="[tblPayroll]"/>
        <x15:activeTabTopLevelEntity name="[tblLab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5D850E-B18E-4B80-BF6B-6A3BB2774FCE}" name="tblJobs" displayName="tblJobs" ref="A1:E334" totalsRowShown="0">
  <autoFilter ref="A1:E334" xr:uid="{395D850E-B18E-4B80-BF6B-6A3BB2774FCE}"/>
  <tableColumns count="5">
    <tableColumn id="1" xr3:uid="{CE3D1203-89FE-4178-8CAD-CEC510C482BE}" name="SAI FILE NO"/>
    <tableColumn id="2" xr3:uid="{30EDF963-70CD-4081-BAD4-D4711B6F683C}" name="BID"/>
    <tableColumn id="3" xr3:uid="{434EBC1B-EDE0-4349-92FC-F2695D65FDD8}" name="PROJECT DESCRIPTION"/>
    <tableColumn id="4" xr3:uid="{69C2C62E-237C-4B5F-AC17-E2B1615C9EAE}" name="SCA SERVICE ID NO." dataDxfId="26"/>
    <tableColumn id="5" xr3:uid="{6DEB7961-6F48-47AF-8C8E-AD2463694F13}" name="SCA PROJECT ID NO." dataDxfId="2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BB4C79-17CF-4A90-AFD3-96C4CC7DF485}" name="tblReoccupancy" displayName="tblReoccupancy" ref="A1:F118" totalsRowShown="0">
  <autoFilter ref="A1:F118" xr:uid="{00000000-0001-0000-0200-000000000000}"/>
  <tableColumns count="6">
    <tableColumn id="1" xr3:uid="{DB5C32FE-A132-451A-8CF7-C6A0543F9DB9}" name="JOBID"/>
    <tableColumn id="2" xr3:uid="{B11DAF08-B835-4DC7-AD3D-F4413C0EC7FA}" name="BID"/>
    <tableColumn id="3" xr3:uid="{8BBEA0E0-2B4D-43AB-95E9-F140F97309A4}" name="START_DATE" dataDxfId="24"/>
    <tableColumn id="4" xr3:uid="{D18C4DE6-C9D4-4E7A-AE7F-46326A83F70E}" name="END_DATE" dataDxfId="23"/>
    <tableColumn id="5" xr3:uid="{80C27F90-EB77-44C7-886C-BB9B5BB102AD}" name="LOCATION"/>
    <tableColumn id="6" xr3:uid="{8FF2E50E-C9B5-42A0-9848-7BD6A2FA571A}" name="AMT_OF_ACM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903FD5-0074-486B-BD51-49030F6B2FBF}" name="tblLabs" displayName="tblLabs" ref="A1:L586" totalsRowShown="0">
  <autoFilter ref="A1:L586" xr:uid="{00000000-0001-0000-0000-000000000000}"/>
  <tableColumns count="12">
    <tableColumn id="1" xr3:uid="{06EBDB76-A053-4FF5-A431-317879E27683}" name="JOBID"/>
    <tableColumn id="2" xr3:uid="{2DC2EFE4-7FCC-4F41-A052-69538C87AB0D}" name="BID"/>
    <tableColumn id="3" xr3:uid="{323A7F40-CD29-4AED-8482-877B815E8CCC}" name="COUNT" dataDxfId="22"/>
    <tableColumn id="4" xr3:uid="{F542F15A-F193-4686-80DD-182885EFA695}" name="BATCH NO" dataDxfId="21"/>
    <tableColumn id="5" xr3:uid="{FA6FBB9A-7AC2-49AE-BA8F-5DA0F025E7EA}" name="SAMPLE TYPE"/>
    <tableColumn id="11" xr3:uid="{F6AA09C3-5A98-4E95-B3CA-061D7E12F3D3}" name="Code"/>
    <tableColumn id="6" xr3:uid="{51FB503E-675D-479D-A324-5E905B02963A}" name="DATE COLLECTED" dataDxfId="20"/>
    <tableColumn id="7" xr3:uid="{45E6DBBD-B2EF-48B6-88A8-896A6FDAFAC7}" name="TECHNICIAN"/>
    <tableColumn id="8" xr3:uid="{CE249C8F-3D66-41E6-AD13-807395278186}" name="LOCATION"/>
    <tableColumn id="9" xr3:uid="{50A34734-0B3A-4BA1-8A26-E685FD4471C2}" name="Facility"/>
    <tableColumn id="10" xr3:uid="{EB493C49-5DA6-4724-9134-42503792C13D}" name="LAB COST" dataDxfId="1">
      <calculatedColumnFormula>INDEX('LAB PRICES'!$C$2:$F$12, MATCH(tblLabs[[#This Row],[Code]], 'LAB PRICES'!$A$2:$A$12, 0), MATCH(tblLabs[[#This Row],[Facility]], 'LAB PRICES'!$C$1:$F$1, 0))</calculatedColumnFormula>
    </tableColumn>
    <tableColumn id="12" xr3:uid="{3BE82A05-CC73-4767-B211-06A0E2C8EF08}" name="SCA_Lab_Charge" dataDxfId="0">
      <calculatedColumnFormula>_xlfn.XLOOKUP(
    tblLabs[[#This Row],[Code]],
    'LAB PRICES'!$A$2:$A$12,
    'LAB PRICES'!$G$2:$G$12
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81B7F5-F1C3-43CF-A429-FD79CABAA4D8}" name="tblPayroll" displayName="tblPayroll" ref="A1:L322" totalsRowShown="0">
  <autoFilter ref="A1:L322" xr:uid="{4481B7F5-F1C3-43CF-A429-FD79CABAA4D8}"/>
  <tableColumns count="12">
    <tableColumn id="1" xr3:uid="{81073B2F-728C-4979-9928-A62D7E776B9C}" name="EMPLOYEE_NAME" dataDxfId="19"/>
    <tableColumn id="2" xr3:uid="{7D94D7D1-9DFE-4CCD-887A-105B66B094F7}" name="CODE" dataDxfId="18"/>
    <tableColumn id="3" xr3:uid="{DD76E61D-55B7-4DB5-B9A8-5B7535DE39BB}" name="HOURLY_RATE" dataDxfId="17"/>
    <tableColumn id="4" xr3:uid="{81F2B83D-9A5C-4922-AB2E-55F49B292B9C}" name="WEEK_PAID" dataDxfId="16"/>
    <tableColumn id="5" xr3:uid="{F00FE9AD-09B9-4E26-82CF-BB4AC25B64B0}" name="DATE_WORKED" dataDxfId="15"/>
    <tableColumn id="11" xr3:uid="{20D1A024-9C35-437A-8DAB-9800B4B3A855}" name="WEEK ENDING DATE" dataDxfId="14"/>
    <tableColumn id="6" xr3:uid="{A5439A76-C31C-4D32-9E8A-97E00455DFBE}" name="HOURS_WORKED" dataDxfId="13"/>
    <tableColumn id="12" xr3:uid="{F4666107-A569-4DBC-8A2F-6B0DAC138D27}" name="JOB_TYPE" dataDxfId="12" dataCellStyle="Normal 2"/>
    <tableColumn id="7" xr3:uid="{09376D71-E811-40F1-A4EA-D91A4A2E0A52}" name="JOBID" dataDxfId="11"/>
    <tableColumn id="8" xr3:uid="{EC690D89-C31D-4ACC-86BB-400550C704BC}" name="BID" dataDxfId="10"/>
    <tableColumn id="9" xr3:uid="{1FFA3C66-7955-4737-A281-4D09B8596F56}" name="EXPENSES" dataDxfId="9"/>
    <tableColumn id="10" xr3:uid="{251C5911-600C-43D4-99A8-64BC960D029B}" name="NOT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1D3740-0D72-4F7D-A1C0-F5B1B51D6C1E}" name="tblLabPrices" displayName="tblLabPrices" ref="A1:G12" totalsRowShown="0">
  <autoFilter ref="A1:G12" xr:uid="{A71D3740-0D72-4F7D-A1C0-F5B1B51D6C1E}"/>
  <tableColumns count="7">
    <tableColumn id="1" xr3:uid="{A74C1B97-CE4E-4BED-B3B4-5FAB676B7627}" name="Code"/>
    <tableColumn id="2" xr3:uid="{D1210EDE-A11D-4ED0-BE55-D8D001B08044}" name="SAMPLE_TYPE"/>
    <tableColumn id="3" xr3:uid="{0880500A-8D83-4920-8BB0-2341F729445A}" name="LTS"/>
    <tableColumn id="4" xr3:uid="{63ED6A72-9020-4793-988B-094659548E3C}" name="ALLAB"/>
    <tableColumn id="5" xr3:uid="{24E31C23-FB0F-4658-985D-846363D772CA}" name="ATC"/>
    <tableColumn id="7" xr3:uid="{FC774695-7E8A-49CE-B962-A493A22B0429}" name="KAM"/>
    <tableColumn id="6" xr3:uid="{0A2068BE-2903-4FAD-9E84-481DC13FC5B7}" name="SCA_FEE_SCHED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DB4A02-97E0-4CB9-9449-F744416B1F71}" name="tblAllabInv" displayName="tblAllabInv" ref="A1:E785" totalsRowShown="0" headerRowDxfId="8" dataDxfId="7">
  <autoFilter ref="A1:E785" xr:uid="{4E78E9A9-8445-427A-8076-A2C77B3BF740}"/>
  <tableColumns count="5">
    <tableColumn id="1" xr3:uid="{5D364D22-674E-4741-92CD-D8299976A95D}" name="Date" dataDxfId="6"/>
    <tableColumn id="2" xr3:uid="{4D4E2AAC-4AD4-4332-9819-F849343A6D72}" name="Num" dataDxfId="5"/>
    <tableColumn id="3" xr3:uid="{EF8D61CE-432D-4FB2-AB99-2ED17C7FE431}" name="Memo" dataDxfId="4"/>
    <tableColumn id="5" xr3:uid="{7A413505-A52A-4227-B95E-14856E5FCB10}" name="Column1" dataDxfId="3"/>
    <tableColumn id="4" xr3:uid="{9045D6D1-85A0-4991-9088-DD1662EB7C32}" name="Amount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C77507-0448-459B-BC75-201B6416884A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E0D0B-1198-465E-A1E6-094DC9D2A96F}">
  <dimension ref="A3:G43"/>
  <sheetViews>
    <sheetView tabSelected="1" workbookViewId="0">
      <selection activeCell="B6" sqref="B6"/>
    </sheetView>
  </sheetViews>
  <sheetFormatPr defaultRowHeight="15" x14ac:dyDescent="0.25"/>
  <cols>
    <col min="1" max="1" width="13.140625" bestFit="1" customWidth="1"/>
    <col min="2" max="2" width="14.42578125" bestFit="1" customWidth="1"/>
    <col min="3" max="3" width="21.42578125" bestFit="1" customWidth="1"/>
    <col min="4" max="4" width="16.28515625" bestFit="1" customWidth="1"/>
    <col min="5" max="5" width="17.7109375" bestFit="1" customWidth="1"/>
    <col min="6" max="6" width="13.42578125" bestFit="1" customWidth="1"/>
    <col min="7" max="7" width="17.28515625" bestFit="1" customWidth="1"/>
  </cols>
  <sheetData>
    <row r="3" spans="1:7" x14ac:dyDescent="0.25">
      <c r="A3" s="36" t="s">
        <v>2564</v>
      </c>
      <c r="B3" t="s">
        <v>2611</v>
      </c>
      <c r="C3" t="s">
        <v>2610</v>
      </c>
      <c r="D3" t="s">
        <v>2609</v>
      </c>
      <c r="E3" t="s">
        <v>2614</v>
      </c>
      <c r="F3" t="s">
        <v>2612</v>
      </c>
      <c r="G3" t="s">
        <v>2613</v>
      </c>
    </row>
    <row r="4" spans="1:7" x14ac:dyDescent="0.25">
      <c r="A4" s="37" t="s">
        <v>99</v>
      </c>
      <c r="B4" s="35"/>
      <c r="C4" s="35"/>
      <c r="D4" s="35">
        <v>1501</v>
      </c>
      <c r="E4" s="35">
        <v>2251.5</v>
      </c>
      <c r="F4" s="35">
        <v>750.5</v>
      </c>
      <c r="G4" s="35">
        <v>0.33333333333333331</v>
      </c>
    </row>
    <row r="5" spans="1:7" x14ac:dyDescent="0.25">
      <c r="A5" s="37" t="s">
        <v>86</v>
      </c>
      <c r="B5" s="35"/>
      <c r="C5" s="35"/>
      <c r="D5" s="35">
        <v>4446</v>
      </c>
      <c r="E5" s="35">
        <v>6669</v>
      </c>
      <c r="F5" s="35">
        <v>2223</v>
      </c>
      <c r="G5" s="35">
        <v>0.33333333333333331</v>
      </c>
    </row>
    <row r="6" spans="1:7" x14ac:dyDescent="0.25">
      <c r="A6" s="37" t="s">
        <v>474</v>
      </c>
      <c r="B6" s="35">
        <v>167</v>
      </c>
      <c r="C6" s="35">
        <v>569</v>
      </c>
      <c r="D6" s="35">
        <v>2913</v>
      </c>
      <c r="E6" s="35">
        <v>4369.5</v>
      </c>
      <c r="F6" s="35">
        <v>1858.5</v>
      </c>
      <c r="G6" s="35">
        <v>0.37632884479092843</v>
      </c>
    </row>
    <row r="7" spans="1:7" x14ac:dyDescent="0.25">
      <c r="A7" s="37" t="s">
        <v>97</v>
      </c>
      <c r="B7" s="35"/>
      <c r="C7" s="35"/>
      <c r="D7" s="35">
        <v>1216</v>
      </c>
      <c r="E7" s="35">
        <v>1824</v>
      </c>
      <c r="F7" s="35">
        <v>608</v>
      </c>
      <c r="G7" s="35">
        <v>0.33333333333333331</v>
      </c>
    </row>
    <row r="8" spans="1:7" x14ac:dyDescent="0.25">
      <c r="A8" s="37" t="s">
        <v>93</v>
      </c>
      <c r="B8" s="35"/>
      <c r="C8" s="35"/>
      <c r="D8" s="35">
        <v>1026</v>
      </c>
      <c r="E8" s="35">
        <v>1539</v>
      </c>
      <c r="F8" s="35">
        <v>513</v>
      </c>
      <c r="G8" s="35">
        <v>0.33333333333333331</v>
      </c>
    </row>
    <row r="9" spans="1:7" x14ac:dyDescent="0.25">
      <c r="A9" s="37" t="s">
        <v>110</v>
      </c>
      <c r="B9" s="35"/>
      <c r="C9" s="35"/>
      <c r="D9" s="35">
        <v>969</v>
      </c>
      <c r="E9" s="35">
        <v>1453.5</v>
      </c>
      <c r="F9" s="35">
        <v>484.5</v>
      </c>
      <c r="G9" s="35">
        <v>0.33333333333333331</v>
      </c>
    </row>
    <row r="10" spans="1:7" x14ac:dyDescent="0.25">
      <c r="A10" s="37" t="s">
        <v>1921</v>
      </c>
      <c r="B10" s="35">
        <v>96</v>
      </c>
      <c r="C10" s="35">
        <v>306</v>
      </c>
      <c r="D10" s="35">
        <v>1235</v>
      </c>
      <c r="E10" s="35">
        <v>1852.5</v>
      </c>
      <c r="F10" s="35">
        <v>827.5</v>
      </c>
      <c r="G10" s="35">
        <v>0.38336807968496639</v>
      </c>
    </row>
    <row r="11" spans="1:7" x14ac:dyDescent="0.25">
      <c r="A11" s="37" t="s">
        <v>108</v>
      </c>
      <c r="B11" s="35"/>
      <c r="C11" s="35"/>
      <c r="D11" s="35">
        <v>342</v>
      </c>
      <c r="E11" s="35">
        <v>513</v>
      </c>
      <c r="F11" s="35">
        <v>171</v>
      </c>
      <c r="G11" s="35">
        <v>0.33333333333333331</v>
      </c>
    </row>
    <row r="12" spans="1:7" x14ac:dyDescent="0.25">
      <c r="A12" s="37" t="s">
        <v>112</v>
      </c>
      <c r="B12" s="35"/>
      <c r="C12" s="35"/>
      <c r="D12" s="35">
        <v>270</v>
      </c>
      <c r="E12" s="35">
        <v>405</v>
      </c>
      <c r="F12" s="35">
        <v>135</v>
      </c>
      <c r="G12" s="35">
        <v>0.33333333333333331</v>
      </c>
    </row>
    <row r="13" spans="1:7" x14ac:dyDescent="0.25">
      <c r="A13" s="37" t="s">
        <v>95</v>
      </c>
      <c r="B13" s="35"/>
      <c r="C13" s="35"/>
      <c r="D13" s="35">
        <v>1900</v>
      </c>
      <c r="E13" s="35">
        <v>2850</v>
      </c>
      <c r="F13" s="35">
        <v>950</v>
      </c>
      <c r="G13" s="35">
        <v>0.33333333333333331</v>
      </c>
    </row>
    <row r="14" spans="1:7" x14ac:dyDescent="0.25">
      <c r="A14" s="37" t="s">
        <v>106</v>
      </c>
      <c r="B14" s="35"/>
      <c r="C14" s="35"/>
      <c r="D14" s="35">
        <v>1387</v>
      </c>
      <c r="E14" s="35">
        <v>2080.5</v>
      </c>
      <c r="F14" s="35">
        <v>693.5</v>
      </c>
      <c r="G14" s="35">
        <v>0.33333333333333331</v>
      </c>
    </row>
    <row r="15" spans="1:7" x14ac:dyDescent="0.25">
      <c r="A15" s="37" t="s">
        <v>52</v>
      </c>
      <c r="B15" s="35">
        <v>336</v>
      </c>
      <c r="C15" s="35">
        <v>1138</v>
      </c>
      <c r="D15" s="35">
        <v>1387</v>
      </c>
      <c r="E15" s="35">
        <v>2080.5</v>
      </c>
      <c r="F15" s="35">
        <v>1495.5</v>
      </c>
      <c r="G15" s="35">
        <v>0.46465744912226192</v>
      </c>
    </row>
    <row r="16" spans="1:7" x14ac:dyDescent="0.25">
      <c r="A16" s="37" t="s">
        <v>217</v>
      </c>
      <c r="B16" s="35">
        <v>122</v>
      </c>
      <c r="C16" s="35">
        <v>369</v>
      </c>
      <c r="D16" s="35">
        <v>2299</v>
      </c>
      <c r="E16" s="35">
        <v>3448.5</v>
      </c>
      <c r="F16" s="35">
        <v>1396.5</v>
      </c>
      <c r="G16" s="35">
        <v>0.36581532416502949</v>
      </c>
    </row>
    <row r="17" spans="1:7" x14ac:dyDescent="0.25">
      <c r="A17" s="37" t="s">
        <v>201</v>
      </c>
      <c r="B17" s="35">
        <v>24</v>
      </c>
      <c r="C17" s="35">
        <v>96</v>
      </c>
      <c r="D17" s="35">
        <v>247</v>
      </c>
      <c r="E17" s="35">
        <v>370.5</v>
      </c>
      <c r="F17" s="35">
        <v>195.5</v>
      </c>
      <c r="G17" s="35">
        <v>0.41907824222936763</v>
      </c>
    </row>
    <row r="18" spans="1:7" x14ac:dyDescent="0.25">
      <c r="A18" s="37" t="s">
        <v>78</v>
      </c>
      <c r="B18" s="35">
        <v>182</v>
      </c>
      <c r="C18" s="35">
        <v>548</v>
      </c>
      <c r="D18" s="35">
        <v>3856</v>
      </c>
      <c r="E18" s="35">
        <v>5784</v>
      </c>
      <c r="F18" s="35">
        <v>2294</v>
      </c>
      <c r="G18" s="35">
        <v>0.36228679722046747</v>
      </c>
    </row>
    <row r="19" spans="1:7" x14ac:dyDescent="0.25">
      <c r="A19" s="37" t="s">
        <v>92</v>
      </c>
      <c r="B19" s="35"/>
      <c r="C19" s="35"/>
      <c r="D19" s="35">
        <v>646</v>
      </c>
      <c r="E19" s="35">
        <v>969</v>
      </c>
      <c r="F19" s="35">
        <v>323</v>
      </c>
      <c r="G19" s="35">
        <v>0.33333333333333331</v>
      </c>
    </row>
    <row r="20" spans="1:7" x14ac:dyDescent="0.25">
      <c r="A20" s="37" t="s">
        <v>432</v>
      </c>
      <c r="B20" s="35"/>
      <c r="C20" s="35"/>
      <c r="D20" s="35">
        <v>361</v>
      </c>
      <c r="E20" s="35">
        <v>541.5</v>
      </c>
      <c r="F20" s="35">
        <v>180.5</v>
      </c>
      <c r="G20" s="35">
        <v>0.33333333333333331</v>
      </c>
    </row>
    <row r="21" spans="1:7" x14ac:dyDescent="0.25">
      <c r="A21" s="37" t="s">
        <v>442</v>
      </c>
      <c r="B21" s="35">
        <v>134</v>
      </c>
      <c r="C21" s="35">
        <v>415</v>
      </c>
      <c r="D21" s="35"/>
      <c r="E21" s="35"/>
      <c r="F21" s="35">
        <v>281</v>
      </c>
      <c r="G21" s="35">
        <v>0.67710843373493979</v>
      </c>
    </row>
    <row r="22" spans="1:7" x14ac:dyDescent="0.25">
      <c r="A22" s="37" t="s">
        <v>306</v>
      </c>
      <c r="B22" s="35">
        <v>392</v>
      </c>
      <c r="C22" s="35">
        <v>1365</v>
      </c>
      <c r="D22" s="35"/>
      <c r="E22" s="35"/>
      <c r="F22" s="35">
        <v>973</v>
      </c>
      <c r="G22" s="35">
        <v>0.71282051282051284</v>
      </c>
    </row>
    <row r="23" spans="1:7" x14ac:dyDescent="0.25">
      <c r="A23" s="37" t="s">
        <v>276</v>
      </c>
      <c r="B23" s="35">
        <v>286</v>
      </c>
      <c r="C23" s="35">
        <v>895</v>
      </c>
      <c r="D23" s="35"/>
      <c r="E23" s="35"/>
      <c r="F23" s="35">
        <v>609</v>
      </c>
      <c r="G23" s="35">
        <v>0.68044692737430168</v>
      </c>
    </row>
    <row r="24" spans="1:7" x14ac:dyDescent="0.25">
      <c r="A24" s="37" t="s">
        <v>1630</v>
      </c>
      <c r="B24" s="35">
        <v>402.5</v>
      </c>
      <c r="C24" s="35">
        <v>1506</v>
      </c>
      <c r="D24" s="35"/>
      <c r="E24" s="35"/>
      <c r="F24" s="35">
        <v>1103.5</v>
      </c>
      <c r="G24" s="35">
        <v>0.73273572377158036</v>
      </c>
    </row>
    <row r="25" spans="1:7" x14ac:dyDescent="0.25">
      <c r="A25" s="37" t="s">
        <v>403</v>
      </c>
      <c r="B25" s="35">
        <v>356</v>
      </c>
      <c r="C25" s="35">
        <v>1084</v>
      </c>
      <c r="D25" s="35"/>
      <c r="E25" s="35"/>
      <c r="F25" s="35">
        <v>728</v>
      </c>
      <c r="G25" s="35">
        <v>0.67158671586715868</v>
      </c>
    </row>
    <row r="26" spans="1:7" x14ac:dyDescent="0.25">
      <c r="A26" s="37" t="s">
        <v>476</v>
      </c>
      <c r="B26" s="35">
        <v>1489</v>
      </c>
      <c r="C26" s="35">
        <v>4490</v>
      </c>
      <c r="D26" s="35">
        <v>22238</v>
      </c>
      <c r="E26" s="35">
        <v>33357</v>
      </c>
      <c r="F26" s="35">
        <v>14120</v>
      </c>
      <c r="G26" s="35">
        <v>0.37308108965043463</v>
      </c>
    </row>
    <row r="27" spans="1:7" x14ac:dyDescent="0.25">
      <c r="A27" s="37" t="s">
        <v>433</v>
      </c>
      <c r="B27" s="35"/>
      <c r="C27" s="35"/>
      <c r="D27" s="35">
        <v>1121</v>
      </c>
      <c r="E27" s="35">
        <v>1681.5</v>
      </c>
      <c r="F27" s="35">
        <v>560.5</v>
      </c>
      <c r="G27" s="35">
        <v>0.33333333333333331</v>
      </c>
    </row>
    <row r="28" spans="1:7" x14ac:dyDescent="0.25">
      <c r="A28" s="37" t="s">
        <v>666</v>
      </c>
      <c r="B28" s="35">
        <v>316</v>
      </c>
      <c r="C28" s="35">
        <v>1061</v>
      </c>
      <c r="D28" s="35"/>
      <c r="E28" s="35"/>
      <c r="F28" s="35">
        <v>745</v>
      </c>
      <c r="G28" s="35">
        <v>0.70216776625824695</v>
      </c>
    </row>
    <row r="29" spans="1:7" x14ac:dyDescent="0.25">
      <c r="A29" s="37" t="s">
        <v>195</v>
      </c>
      <c r="B29" s="35">
        <v>552</v>
      </c>
      <c r="C29" s="35">
        <v>1672</v>
      </c>
      <c r="D29" s="35"/>
      <c r="E29" s="35"/>
      <c r="F29" s="35">
        <v>1120</v>
      </c>
      <c r="G29" s="35">
        <v>0.66985645933014359</v>
      </c>
    </row>
    <row r="30" spans="1:7" x14ac:dyDescent="0.25">
      <c r="A30" s="37" t="s">
        <v>132</v>
      </c>
      <c r="B30" s="35">
        <v>105</v>
      </c>
      <c r="C30" s="35">
        <v>415</v>
      </c>
      <c r="D30" s="35"/>
      <c r="E30" s="35"/>
      <c r="F30" s="35">
        <v>310</v>
      </c>
      <c r="G30" s="35">
        <v>0.74698795180722888</v>
      </c>
    </row>
    <row r="31" spans="1:7" x14ac:dyDescent="0.25">
      <c r="A31" s="37" t="s">
        <v>706</v>
      </c>
      <c r="B31" s="35">
        <v>140</v>
      </c>
      <c r="C31" s="35">
        <v>438</v>
      </c>
      <c r="D31" s="35">
        <v>2092.5</v>
      </c>
      <c r="E31" s="35">
        <v>3138.75</v>
      </c>
      <c r="F31" s="35">
        <v>1344.25</v>
      </c>
      <c r="G31" s="35">
        <v>0.37583001328021248</v>
      </c>
    </row>
    <row r="32" spans="1:7" x14ac:dyDescent="0.25">
      <c r="A32" s="37" t="s">
        <v>636</v>
      </c>
      <c r="B32" s="35">
        <v>288</v>
      </c>
      <c r="C32" s="35">
        <v>916</v>
      </c>
      <c r="D32" s="35"/>
      <c r="E32" s="35"/>
      <c r="F32" s="35">
        <v>628</v>
      </c>
      <c r="G32" s="35">
        <v>0.68558951965065507</v>
      </c>
    </row>
    <row r="33" spans="1:7" x14ac:dyDescent="0.25">
      <c r="A33" s="37" t="s">
        <v>225</v>
      </c>
      <c r="B33" s="35">
        <v>52</v>
      </c>
      <c r="C33" s="35">
        <v>196</v>
      </c>
      <c r="D33" s="35"/>
      <c r="E33" s="35"/>
      <c r="F33" s="35">
        <v>144</v>
      </c>
      <c r="G33" s="35">
        <v>0.73469387755102045</v>
      </c>
    </row>
    <row r="34" spans="1:7" x14ac:dyDescent="0.25">
      <c r="A34" s="37" t="s">
        <v>2118</v>
      </c>
      <c r="B34" s="35">
        <v>64</v>
      </c>
      <c r="C34" s="35">
        <v>196</v>
      </c>
      <c r="D34" s="35">
        <v>1750</v>
      </c>
      <c r="E34" s="35">
        <v>2625</v>
      </c>
      <c r="F34" s="35">
        <v>1007</v>
      </c>
      <c r="G34" s="35">
        <v>0.35696561503013113</v>
      </c>
    </row>
    <row r="35" spans="1:7" x14ac:dyDescent="0.25">
      <c r="A35" s="37" t="s">
        <v>1745</v>
      </c>
      <c r="B35" s="35">
        <v>460</v>
      </c>
      <c r="C35" s="35">
        <v>1418</v>
      </c>
      <c r="D35" s="35">
        <v>8423.5</v>
      </c>
      <c r="E35" s="35">
        <v>12635.25</v>
      </c>
      <c r="F35" s="35">
        <v>5169.75</v>
      </c>
      <c r="G35" s="35">
        <v>0.36786864248483447</v>
      </c>
    </row>
    <row r="36" spans="1:7" x14ac:dyDescent="0.25">
      <c r="A36" s="37" t="s">
        <v>303</v>
      </c>
      <c r="B36" s="35">
        <v>204</v>
      </c>
      <c r="C36" s="35">
        <v>638</v>
      </c>
      <c r="D36" s="35"/>
      <c r="E36" s="35"/>
      <c r="F36" s="35">
        <v>434</v>
      </c>
      <c r="G36" s="35">
        <v>0.68025078369905956</v>
      </c>
    </row>
    <row r="37" spans="1:7" x14ac:dyDescent="0.25">
      <c r="A37" s="37" t="s">
        <v>1931</v>
      </c>
      <c r="B37" s="35">
        <v>152</v>
      </c>
      <c r="C37" s="35">
        <v>484</v>
      </c>
      <c r="D37" s="35">
        <v>3382</v>
      </c>
      <c r="E37" s="35">
        <v>5073</v>
      </c>
      <c r="F37" s="35">
        <v>2023</v>
      </c>
      <c r="G37" s="35">
        <v>0.36404534820946555</v>
      </c>
    </row>
    <row r="38" spans="1:7" x14ac:dyDescent="0.25">
      <c r="A38" s="37" t="s">
        <v>2183</v>
      </c>
      <c r="B38" s="35">
        <v>20</v>
      </c>
      <c r="C38" s="35">
        <v>108</v>
      </c>
      <c r="D38" s="35">
        <v>2095.5</v>
      </c>
      <c r="E38" s="35">
        <v>3143.25</v>
      </c>
      <c r="F38" s="35">
        <v>1135.75</v>
      </c>
      <c r="G38" s="35">
        <v>0.34932718185313338</v>
      </c>
    </row>
    <row r="39" spans="1:7" x14ac:dyDescent="0.25">
      <c r="A39" s="37" t="s">
        <v>2209</v>
      </c>
      <c r="B39" s="35">
        <v>186</v>
      </c>
      <c r="C39" s="35">
        <v>565</v>
      </c>
      <c r="D39" s="35">
        <v>3607</v>
      </c>
      <c r="E39" s="35">
        <v>5410.5</v>
      </c>
      <c r="F39" s="35">
        <v>2182.5</v>
      </c>
      <c r="G39" s="35">
        <v>0.36524140239310515</v>
      </c>
    </row>
    <row r="40" spans="1:7" x14ac:dyDescent="0.25">
      <c r="A40" s="37" t="s">
        <v>1624</v>
      </c>
      <c r="B40" s="35">
        <v>293.5</v>
      </c>
      <c r="C40" s="35">
        <v>1009</v>
      </c>
      <c r="D40" s="35">
        <v>4198.5</v>
      </c>
      <c r="E40" s="35">
        <v>6297.75</v>
      </c>
      <c r="F40" s="35">
        <v>2814.75</v>
      </c>
      <c r="G40" s="35">
        <v>0.38522598966708865</v>
      </c>
    </row>
    <row r="41" spans="1:7" x14ac:dyDescent="0.25">
      <c r="A41" s="37" t="s">
        <v>1886</v>
      </c>
      <c r="B41" s="35"/>
      <c r="C41" s="35"/>
      <c r="D41" s="35">
        <v>6344</v>
      </c>
      <c r="E41" s="35">
        <v>9516</v>
      </c>
      <c r="F41" s="35">
        <v>3172</v>
      </c>
      <c r="G41" s="35">
        <v>0.33333333333333331</v>
      </c>
    </row>
    <row r="42" spans="1:7" x14ac:dyDescent="0.25">
      <c r="A42" s="37" t="s">
        <v>2608</v>
      </c>
      <c r="B42" s="35">
        <v>439</v>
      </c>
      <c r="C42" s="35">
        <v>1321</v>
      </c>
      <c r="D42" s="35">
        <v>36671</v>
      </c>
      <c r="E42" s="35">
        <v>55006.5</v>
      </c>
      <c r="F42" s="35">
        <v>19217.5</v>
      </c>
      <c r="G42" s="35">
        <v>0.34117438196262928</v>
      </c>
    </row>
    <row r="43" spans="1:7" x14ac:dyDescent="0.25">
      <c r="A43" s="37" t="s">
        <v>2565</v>
      </c>
      <c r="B43" s="35">
        <v>7258</v>
      </c>
      <c r="C43" s="35">
        <v>23218</v>
      </c>
      <c r="D43" s="35">
        <v>117924</v>
      </c>
      <c r="E43" s="35">
        <v>176886</v>
      </c>
      <c r="F43" s="35">
        <v>74922</v>
      </c>
      <c r="G43" s="35">
        <v>0.37441530404189821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4C2D-D04B-47F5-981C-4B9D9CB790E3}">
  <dimension ref="A1:E334"/>
  <sheetViews>
    <sheetView workbookViewId="0">
      <selection activeCell="C7" sqref="C7"/>
    </sheetView>
  </sheetViews>
  <sheetFormatPr defaultRowHeight="15" x14ac:dyDescent="0.25"/>
  <cols>
    <col min="1" max="1" width="13.140625" customWidth="1"/>
    <col min="2" max="2" width="20.28515625" customWidth="1"/>
    <col min="3" max="3" width="22.85546875" customWidth="1"/>
    <col min="4" max="4" width="20.28515625" style="6" customWidth="1"/>
    <col min="5" max="5" width="20.7109375" customWidth="1"/>
  </cols>
  <sheetData>
    <row r="1" spans="1:5" x14ac:dyDescent="0.25">
      <c r="A1" t="s">
        <v>1997</v>
      </c>
      <c r="B1" t="s">
        <v>50</v>
      </c>
      <c r="C1" t="s">
        <v>1998</v>
      </c>
      <c r="D1" s="6" t="s">
        <v>1999</v>
      </c>
      <c r="E1" s="8" t="s">
        <v>2000</v>
      </c>
    </row>
    <row r="2" spans="1:5" x14ac:dyDescent="0.25">
      <c r="A2" t="s">
        <v>2001</v>
      </c>
      <c r="B2" t="s">
        <v>477</v>
      </c>
      <c r="C2" t="s">
        <v>2002</v>
      </c>
      <c r="D2" s="6">
        <v>94416</v>
      </c>
      <c r="E2" s="6">
        <v>141568</v>
      </c>
    </row>
    <row r="3" spans="1:5" x14ac:dyDescent="0.25">
      <c r="A3" t="s">
        <v>2003</v>
      </c>
      <c r="B3" t="s">
        <v>2004</v>
      </c>
      <c r="C3" t="s">
        <v>2002</v>
      </c>
      <c r="D3" s="6">
        <v>94520</v>
      </c>
      <c r="E3" s="6"/>
    </row>
    <row r="4" spans="1:5" x14ac:dyDescent="0.25">
      <c r="A4" t="s">
        <v>2005</v>
      </c>
      <c r="B4" t="s">
        <v>2006</v>
      </c>
      <c r="C4" t="s">
        <v>2002</v>
      </c>
      <c r="D4" s="6">
        <v>94540</v>
      </c>
      <c r="E4" s="6">
        <v>141670</v>
      </c>
    </row>
    <row r="5" spans="1:5" x14ac:dyDescent="0.25">
      <c r="A5" t="s">
        <v>2007</v>
      </c>
      <c r="B5" t="s">
        <v>2008</v>
      </c>
      <c r="C5" t="s">
        <v>2002</v>
      </c>
      <c r="D5" s="6">
        <v>94758</v>
      </c>
      <c r="E5" s="6">
        <v>141770</v>
      </c>
    </row>
    <row r="6" spans="1:5" x14ac:dyDescent="0.25">
      <c r="A6" t="s">
        <v>1694</v>
      </c>
      <c r="B6" t="s">
        <v>2009</v>
      </c>
      <c r="C6" t="s">
        <v>2010</v>
      </c>
      <c r="D6" s="6">
        <v>94367</v>
      </c>
      <c r="E6" s="6">
        <v>139246</v>
      </c>
    </row>
    <row r="7" spans="1:5" x14ac:dyDescent="0.25">
      <c r="A7" t="s">
        <v>1594</v>
      </c>
      <c r="B7" t="s">
        <v>1715</v>
      </c>
      <c r="C7" t="s">
        <v>2010</v>
      </c>
      <c r="E7" s="6"/>
    </row>
    <row r="8" spans="1:5" x14ac:dyDescent="0.25">
      <c r="A8" t="s">
        <v>1679</v>
      </c>
      <c r="B8" t="s">
        <v>2011</v>
      </c>
      <c r="C8" t="s">
        <v>2002</v>
      </c>
      <c r="E8" s="6"/>
    </row>
    <row r="9" spans="1:5" x14ac:dyDescent="0.25">
      <c r="A9" t="s">
        <v>2012</v>
      </c>
      <c r="B9" t="s">
        <v>2008</v>
      </c>
      <c r="C9" t="s">
        <v>2002</v>
      </c>
      <c r="D9" s="6">
        <v>94587</v>
      </c>
      <c r="E9" s="6">
        <v>141701</v>
      </c>
    </row>
    <row r="10" spans="1:5" x14ac:dyDescent="0.25">
      <c r="A10" t="s">
        <v>2013</v>
      </c>
      <c r="B10" t="s">
        <v>2014</v>
      </c>
      <c r="C10" t="s">
        <v>2002</v>
      </c>
      <c r="D10" s="6">
        <v>94618</v>
      </c>
      <c r="E10" s="6">
        <v>141715</v>
      </c>
    </row>
    <row r="11" spans="1:5" x14ac:dyDescent="0.25">
      <c r="A11" t="s">
        <v>1886</v>
      </c>
      <c r="B11" t="s">
        <v>218</v>
      </c>
      <c r="C11" t="s">
        <v>2002</v>
      </c>
      <c r="D11" s="6">
        <v>94758</v>
      </c>
      <c r="E11" s="6">
        <v>141770</v>
      </c>
    </row>
    <row r="12" spans="1:5" x14ac:dyDescent="0.25">
      <c r="A12" t="s">
        <v>2015</v>
      </c>
      <c r="B12" t="s">
        <v>2016</v>
      </c>
      <c r="C12" t="s">
        <v>2002</v>
      </c>
      <c r="E12" s="6"/>
    </row>
    <row r="13" spans="1:5" x14ac:dyDescent="0.25">
      <c r="A13" t="s">
        <v>1688</v>
      </c>
      <c r="B13" t="s">
        <v>2017</v>
      </c>
      <c r="C13" t="s">
        <v>2002</v>
      </c>
      <c r="E13" s="6"/>
    </row>
    <row r="14" spans="1:5" x14ac:dyDescent="0.25">
      <c r="A14" t="s">
        <v>2018</v>
      </c>
      <c r="B14" t="s">
        <v>102</v>
      </c>
      <c r="C14" t="s">
        <v>2002</v>
      </c>
      <c r="E14" s="6"/>
    </row>
    <row r="15" spans="1:5" x14ac:dyDescent="0.25">
      <c r="A15" t="s">
        <v>2019</v>
      </c>
      <c r="B15" t="s">
        <v>1586</v>
      </c>
      <c r="C15" t="s">
        <v>2010</v>
      </c>
      <c r="E15" s="6"/>
    </row>
    <row r="16" spans="1:5" x14ac:dyDescent="0.25">
      <c r="A16" t="s">
        <v>2020</v>
      </c>
      <c r="B16" t="s">
        <v>2021</v>
      </c>
      <c r="C16" t="s">
        <v>2002</v>
      </c>
      <c r="D16" s="6">
        <v>94778</v>
      </c>
      <c r="E16" s="6">
        <v>141789</v>
      </c>
    </row>
    <row r="17" spans="1:5" x14ac:dyDescent="0.25">
      <c r="A17" t="s">
        <v>2022</v>
      </c>
      <c r="B17" t="s">
        <v>1583</v>
      </c>
      <c r="C17" t="s">
        <v>2010</v>
      </c>
      <c r="E17" s="6"/>
    </row>
    <row r="18" spans="1:5" x14ac:dyDescent="0.25">
      <c r="A18" t="s">
        <v>2023</v>
      </c>
      <c r="B18" t="s">
        <v>1764</v>
      </c>
      <c r="C18" t="s">
        <v>2010</v>
      </c>
      <c r="E18" s="6"/>
    </row>
    <row r="19" spans="1:5" x14ac:dyDescent="0.25">
      <c r="A19" t="s">
        <v>2024</v>
      </c>
      <c r="B19" t="s">
        <v>2025</v>
      </c>
      <c r="C19" t="s">
        <v>2010</v>
      </c>
      <c r="D19" s="6">
        <v>95250</v>
      </c>
      <c r="E19" s="6"/>
    </row>
    <row r="20" spans="1:5" x14ac:dyDescent="0.25">
      <c r="A20" t="s">
        <v>2026</v>
      </c>
      <c r="B20" t="s">
        <v>1715</v>
      </c>
      <c r="C20" t="s">
        <v>2010</v>
      </c>
      <c r="E20" s="6"/>
    </row>
    <row r="21" spans="1:5" x14ac:dyDescent="0.25">
      <c r="A21" t="s">
        <v>2027</v>
      </c>
      <c r="B21" t="s">
        <v>2028</v>
      </c>
      <c r="C21" t="s">
        <v>2029</v>
      </c>
      <c r="D21" s="6">
        <v>50159</v>
      </c>
      <c r="E21" s="6">
        <v>77931</v>
      </c>
    </row>
    <row r="22" spans="1:5" x14ac:dyDescent="0.25">
      <c r="A22" t="s">
        <v>2030</v>
      </c>
      <c r="B22" t="s">
        <v>2009</v>
      </c>
      <c r="C22" t="s">
        <v>2031</v>
      </c>
      <c r="E22" s="6"/>
    </row>
    <row r="23" spans="1:5" x14ac:dyDescent="0.25">
      <c r="A23" t="s">
        <v>2032</v>
      </c>
      <c r="B23" t="s">
        <v>2033</v>
      </c>
      <c r="E23" s="6"/>
    </row>
    <row r="24" spans="1:5" x14ac:dyDescent="0.25">
      <c r="A24" t="s">
        <v>2034</v>
      </c>
      <c r="B24" t="s">
        <v>94</v>
      </c>
      <c r="C24" t="s">
        <v>2035</v>
      </c>
      <c r="D24" s="6">
        <v>97179</v>
      </c>
      <c r="E24" s="6">
        <v>138996</v>
      </c>
    </row>
    <row r="25" spans="1:5" x14ac:dyDescent="0.25">
      <c r="A25" t="s">
        <v>2036</v>
      </c>
      <c r="B25" t="s">
        <v>2037</v>
      </c>
      <c r="C25" t="s">
        <v>2029</v>
      </c>
      <c r="E25" s="6"/>
    </row>
    <row r="26" spans="1:5" x14ac:dyDescent="0.25">
      <c r="A26" t="s">
        <v>2038</v>
      </c>
      <c r="B26" t="s">
        <v>2009</v>
      </c>
      <c r="C26" t="s">
        <v>2031</v>
      </c>
      <c r="D26" s="6">
        <v>97388</v>
      </c>
      <c r="E26" s="6">
        <v>141485</v>
      </c>
    </row>
    <row r="27" spans="1:5" x14ac:dyDescent="0.25">
      <c r="A27" t="s">
        <v>2039</v>
      </c>
      <c r="B27" t="s">
        <v>2009</v>
      </c>
      <c r="C27" t="s">
        <v>2031</v>
      </c>
      <c r="D27" s="6">
        <v>97386</v>
      </c>
      <c r="E27" s="6">
        <v>141478</v>
      </c>
    </row>
    <row r="28" spans="1:5" x14ac:dyDescent="0.25">
      <c r="A28" t="s">
        <v>2040</v>
      </c>
      <c r="B28" t="s">
        <v>2041</v>
      </c>
      <c r="C28" t="s">
        <v>2035</v>
      </c>
      <c r="D28" s="6">
        <v>94661</v>
      </c>
      <c r="E28" s="6">
        <v>138998</v>
      </c>
    </row>
    <row r="29" spans="1:5" x14ac:dyDescent="0.25">
      <c r="A29" t="s">
        <v>2042</v>
      </c>
      <c r="B29" t="s">
        <v>2043</v>
      </c>
      <c r="C29" t="s">
        <v>2031</v>
      </c>
      <c r="D29" s="6">
        <v>97450</v>
      </c>
      <c r="E29" s="6">
        <v>141484</v>
      </c>
    </row>
    <row r="30" spans="1:5" x14ac:dyDescent="0.25">
      <c r="A30" t="s">
        <v>2044</v>
      </c>
      <c r="B30" t="s">
        <v>2045</v>
      </c>
      <c r="C30" t="s">
        <v>2029</v>
      </c>
      <c r="E30" s="6"/>
    </row>
    <row r="31" spans="1:5" x14ac:dyDescent="0.25">
      <c r="A31" t="s">
        <v>2046</v>
      </c>
      <c r="B31" t="s">
        <v>2047</v>
      </c>
      <c r="C31" t="s">
        <v>2010</v>
      </c>
      <c r="D31" s="6">
        <v>97448</v>
      </c>
      <c r="E31" s="6">
        <v>142187</v>
      </c>
    </row>
    <row r="32" spans="1:5" x14ac:dyDescent="0.25">
      <c r="A32" t="s">
        <v>2048</v>
      </c>
      <c r="B32" t="s">
        <v>2049</v>
      </c>
      <c r="C32" t="s">
        <v>2031</v>
      </c>
      <c r="D32" s="6">
        <v>97169</v>
      </c>
      <c r="E32" s="6">
        <v>141386</v>
      </c>
    </row>
    <row r="33" spans="1:5" x14ac:dyDescent="0.25">
      <c r="A33" t="s">
        <v>2050</v>
      </c>
      <c r="B33" t="s">
        <v>1729</v>
      </c>
      <c r="C33" t="s">
        <v>2051</v>
      </c>
      <c r="D33" s="6">
        <v>97724</v>
      </c>
      <c r="E33" s="6">
        <v>130667</v>
      </c>
    </row>
    <row r="34" spans="1:5" x14ac:dyDescent="0.25">
      <c r="A34" t="s">
        <v>2052</v>
      </c>
      <c r="B34" t="s">
        <v>2053</v>
      </c>
      <c r="C34" t="s">
        <v>2002</v>
      </c>
      <c r="E34" s="6"/>
    </row>
    <row r="35" spans="1:5" x14ac:dyDescent="0.25">
      <c r="A35" t="s">
        <v>2054</v>
      </c>
      <c r="B35" t="s">
        <v>428</v>
      </c>
      <c r="C35" t="s">
        <v>2002</v>
      </c>
      <c r="D35" s="6">
        <v>97818</v>
      </c>
      <c r="E35" s="6">
        <v>144881</v>
      </c>
    </row>
    <row r="36" spans="1:5" x14ac:dyDescent="0.25">
      <c r="A36" t="s">
        <v>2055</v>
      </c>
      <c r="B36" t="s">
        <v>2056</v>
      </c>
      <c r="C36" t="s">
        <v>2002</v>
      </c>
      <c r="E36" s="6"/>
    </row>
    <row r="37" spans="1:5" x14ac:dyDescent="0.25">
      <c r="A37" t="s">
        <v>2057</v>
      </c>
      <c r="B37" t="s">
        <v>2058</v>
      </c>
      <c r="C37" t="s">
        <v>2031</v>
      </c>
      <c r="D37" s="6">
        <v>97613</v>
      </c>
      <c r="E37" s="6">
        <v>141636</v>
      </c>
    </row>
    <row r="38" spans="1:5" x14ac:dyDescent="0.25">
      <c r="A38" t="s">
        <v>2059</v>
      </c>
      <c r="B38" t="s">
        <v>2058</v>
      </c>
      <c r="C38" t="s">
        <v>2035</v>
      </c>
      <c r="D38" s="6">
        <v>97650</v>
      </c>
      <c r="E38" s="6">
        <v>141634</v>
      </c>
    </row>
    <row r="39" spans="1:5" x14ac:dyDescent="0.25">
      <c r="A39" t="s">
        <v>2060</v>
      </c>
      <c r="B39" t="s">
        <v>2061</v>
      </c>
      <c r="C39" t="s">
        <v>2062</v>
      </c>
      <c r="D39" s="6">
        <v>97776</v>
      </c>
      <c r="E39" s="6">
        <v>139888</v>
      </c>
    </row>
    <row r="40" spans="1:5" x14ac:dyDescent="0.25">
      <c r="A40" t="s">
        <v>2063</v>
      </c>
      <c r="B40" t="s">
        <v>2064</v>
      </c>
      <c r="C40" t="s">
        <v>2062</v>
      </c>
      <c r="D40" s="6">
        <v>97706</v>
      </c>
      <c r="E40" s="6">
        <v>139989</v>
      </c>
    </row>
    <row r="41" spans="1:5" x14ac:dyDescent="0.25">
      <c r="A41" t="s">
        <v>2065</v>
      </c>
      <c r="B41" t="s">
        <v>2066</v>
      </c>
      <c r="C41" t="s">
        <v>2029</v>
      </c>
      <c r="E41" s="6"/>
    </row>
    <row r="42" spans="1:5" x14ac:dyDescent="0.25">
      <c r="A42" t="s">
        <v>2067</v>
      </c>
      <c r="B42" t="s">
        <v>2068</v>
      </c>
      <c r="C42" t="s">
        <v>2002</v>
      </c>
      <c r="D42" s="6">
        <v>97786</v>
      </c>
      <c r="E42" s="6">
        <v>144864</v>
      </c>
    </row>
    <row r="43" spans="1:5" x14ac:dyDescent="0.25">
      <c r="A43" t="s">
        <v>2069</v>
      </c>
      <c r="B43" t="s">
        <v>2070</v>
      </c>
      <c r="C43" t="s">
        <v>2002</v>
      </c>
      <c r="D43" s="6">
        <v>97816</v>
      </c>
      <c r="E43" s="6">
        <v>144879</v>
      </c>
    </row>
    <row r="44" spans="1:5" x14ac:dyDescent="0.25">
      <c r="A44" t="s">
        <v>2071</v>
      </c>
      <c r="B44" t="s">
        <v>2072</v>
      </c>
      <c r="C44" t="s">
        <v>2002</v>
      </c>
      <c r="E44" s="6"/>
    </row>
    <row r="45" spans="1:5" x14ac:dyDescent="0.25">
      <c r="A45" t="s">
        <v>2073</v>
      </c>
      <c r="B45" t="s">
        <v>2074</v>
      </c>
      <c r="C45" t="s">
        <v>2002</v>
      </c>
      <c r="D45" s="6">
        <v>97540</v>
      </c>
      <c r="E45" s="6">
        <v>143655</v>
      </c>
    </row>
    <row r="46" spans="1:5" x14ac:dyDescent="0.25">
      <c r="A46" t="s">
        <v>2075</v>
      </c>
      <c r="B46" t="s">
        <v>2041</v>
      </c>
      <c r="C46" t="s">
        <v>2002</v>
      </c>
      <c r="E46" s="6"/>
    </row>
    <row r="47" spans="1:5" x14ac:dyDescent="0.25">
      <c r="A47" t="s">
        <v>2076</v>
      </c>
      <c r="B47" t="s">
        <v>1736</v>
      </c>
      <c r="E47" s="6"/>
    </row>
    <row r="48" spans="1:5" x14ac:dyDescent="0.25">
      <c r="A48" t="s">
        <v>2077</v>
      </c>
      <c r="B48" t="s">
        <v>2078</v>
      </c>
      <c r="C48" t="s">
        <v>2002</v>
      </c>
      <c r="D48" s="6">
        <v>90375</v>
      </c>
      <c r="E48" s="6">
        <v>138341</v>
      </c>
    </row>
    <row r="49" spans="1:5" x14ac:dyDescent="0.25">
      <c r="A49" t="s">
        <v>2079</v>
      </c>
      <c r="B49" t="s">
        <v>2080</v>
      </c>
      <c r="C49" t="s">
        <v>2002</v>
      </c>
      <c r="D49" s="6">
        <v>90610</v>
      </c>
      <c r="E49" s="6">
        <v>138462</v>
      </c>
    </row>
    <row r="50" spans="1:5" x14ac:dyDescent="0.25">
      <c r="A50" t="s">
        <v>1748</v>
      </c>
      <c r="B50" t="s">
        <v>2081</v>
      </c>
      <c r="C50" t="s">
        <v>2010</v>
      </c>
      <c r="D50" s="6">
        <v>90587</v>
      </c>
      <c r="E50" s="6">
        <v>138375</v>
      </c>
    </row>
    <row r="51" spans="1:5" x14ac:dyDescent="0.25">
      <c r="A51" t="s">
        <v>2082</v>
      </c>
      <c r="B51" t="s">
        <v>2083</v>
      </c>
      <c r="C51" t="s">
        <v>2029</v>
      </c>
      <c r="D51" s="6">
        <v>90083</v>
      </c>
      <c r="E51" s="6">
        <v>130440</v>
      </c>
    </row>
    <row r="52" spans="1:5" x14ac:dyDescent="0.25">
      <c r="A52" t="s">
        <v>706</v>
      </c>
      <c r="B52" t="s">
        <v>707</v>
      </c>
      <c r="C52" t="s">
        <v>2002</v>
      </c>
      <c r="D52" s="6">
        <v>90701</v>
      </c>
      <c r="E52" s="6">
        <v>138488</v>
      </c>
    </row>
    <row r="53" spans="1:5" x14ac:dyDescent="0.25">
      <c r="A53" t="s">
        <v>636</v>
      </c>
      <c r="B53" t="s">
        <v>637</v>
      </c>
      <c r="C53" t="s">
        <v>2244</v>
      </c>
      <c r="D53" s="6">
        <v>90763</v>
      </c>
      <c r="E53" s="6" t="s">
        <v>2084</v>
      </c>
    </row>
    <row r="54" spans="1:5" x14ac:dyDescent="0.25">
      <c r="A54" t="s">
        <v>2085</v>
      </c>
      <c r="B54" t="s">
        <v>1721</v>
      </c>
      <c r="C54" t="s">
        <v>2002</v>
      </c>
      <c r="D54" s="6">
        <v>91184</v>
      </c>
      <c r="E54" s="6">
        <v>138746</v>
      </c>
    </row>
    <row r="55" spans="1:5" x14ac:dyDescent="0.25">
      <c r="A55" t="s">
        <v>2086</v>
      </c>
      <c r="B55" t="s">
        <v>2058</v>
      </c>
      <c r="C55" t="s">
        <v>2002</v>
      </c>
      <c r="D55" s="6">
        <v>90480</v>
      </c>
      <c r="E55" s="6">
        <v>138411</v>
      </c>
    </row>
    <row r="56" spans="1:5" x14ac:dyDescent="0.25">
      <c r="A56" t="s">
        <v>2087</v>
      </c>
      <c r="B56" t="s">
        <v>2088</v>
      </c>
      <c r="C56" t="s">
        <v>2002</v>
      </c>
      <c r="E56" s="6"/>
    </row>
    <row r="57" spans="1:5" x14ac:dyDescent="0.25">
      <c r="A57" t="s">
        <v>2089</v>
      </c>
      <c r="B57" t="s">
        <v>1740</v>
      </c>
      <c r="C57" t="s">
        <v>2029</v>
      </c>
      <c r="D57" s="6">
        <v>82742</v>
      </c>
      <c r="E57" s="6" t="s">
        <v>2090</v>
      </c>
    </row>
    <row r="58" spans="1:5" x14ac:dyDescent="0.25">
      <c r="A58" t="s">
        <v>2091</v>
      </c>
      <c r="B58" t="s">
        <v>1737</v>
      </c>
      <c r="C58" t="s">
        <v>2002</v>
      </c>
      <c r="D58" s="6">
        <v>90624</v>
      </c>
      <c r="E58" s="6">
        <v>138470</v>
      </c>
    </row>
    <row r="59" spans="1:5" x14ac:dyDescent="0.25">
      <c r="A59" t="s">
        <v>2092</v>
      </c>
      <c r="B59" t="s">
        <v>2058</v>
      </c>
      <c r="C59" t="s">
        <v>2002</v>
      </c>
      <c r="D59" s="6">
        <v>90784</v>
      </c>
      <c r="E59" s="6">
        <v>138614</v>
      </c>
    </row>
    <row r="60" spans="1:5" x14ac:dyDescent="0.25">
      <c r="A60" t="s">
        <v>2093</v>
      </c>
      <c r="B60" t="s">
        <v>2094</v>
      </c>
      <c r="C60" t="s">
        <v>2002</v>
      </c>
      <c r="D60" s="6">
        <v>90892</v>
      </c>
      <c r="E60" s="6">
        <v>138638</v>
      </c>
    </row>
    <row r="61" spans="1:5" x14ac:dyDescent="0.25">
      <c r="A61" t="s">
        <v>2095</v>
      </c>
      <c r="B61" t="s">
        <v>477</v>
      </c>
      <c r="C61" t="s">
        <v>2002</v>
      </c>
      <c r="D61" s="6">
        <v>88306</v>
      </c>
      <c r="E61" s="6">
        <v>135518</v>
      </c>
    </row>
    <row r="62" spans="1:5" x14ac:dyDescent="0.25">
      <c r="A62" t="s">
        <v>2096</v>
      </c>
      <c r="B62" t="s">
        <v>2097</v>
      </c>
      <c r="C62" t="s">
        <v>2010</v>
      </c>
      <c r="D62" s="6">
        <v>89776</v>
      </c>
      <c r="E62" s="6">
        <v>126994</v>
      </c>
    </row>
    <row r="63" spans="1:5" x14ac:dyDescent="0.25">
      <c r="A63" t="s">
        <v>2098</v>
      </c>
      <c r="B63" t="s">
        <v>2097</v>
      </c>
      <c r="C63" t="s">
        <v>2010</v>
      </c>
      <c r="D63" s="6">
        <v>89766</v>
      </c>
      <c r="E63" s="6">
        <v>126993</v>
      </c>
    </row>
    <row r="64" spans="1:5" x14ac:dyDescent="0.25">
      <c r="A64" t="s">
        <v>2099</v>
      </c>
      <c r="B64" t="s">
        <v>2097</v>
      </c>
      <c r="C64" t="s">
        <v>2010</v>
      </c>
      <c r="D64" s="6">
        <v>89768</v>
      </c>
      <c r="E64" s="6">
        <v>126995</v>
      </c>
    </row>
    <row r="65" spans="1:5" x14ac:dyDescent="0.25">
      <c r="A65" t="s">
        <v>2100</v>
      </c>
      <c r="B65" t="s">
        <v>1762</v>
      </c>
      <c r="C65" t="s">
        <v>2010</v>
      </c>
      <c r="D65" s="6">
        <v>89359</v>
      </c>
      <c r="E65" s="6">
        <v>133978</v>
      </c>
    </row>
    <row r="66" spans="1:5" x14ac:dyDescent="0.25">
      <c r="A66" t="s">
        <v>1611</v>
      </c>
      <c r="B66" t="s">
        <v>1762</v>
      </c>
      <c r="C66" t="s">
        <v>2010</v>
      </c>
      <c r="D66" s="6">
        <v>89963</v>
      </c>
      <c r="E66" s="6">
        <v>133979</v>
      </c>
    </row>
    <row r="67" spans="1:5" x14ac:dyDescent="0.25">
      <c r="A67" t="s">
        <v>2101</v>
      </c>
      <c r="B67" t="s">
        <v>2102</v>
      </c>
      <c r="C67" t="s">
        <v>2002</v>
      </c>
      <c r="D67" s="6">
        <v>91329</v>
      </c>
      <c r="E67" s="6">
        <v>138795</v>
      </c>
    </row>
    <row r="68" spans="1:5" x14ac:dyDescent="0.25">
      <c r="A68" t="s">
        <v>225</v>
      </c>
      <c r="B68" t="s">
        <v>226</v>
      </c>
      <c r="C68" t="s">
        <v>2002</v>
      </c>
      <c r="D68" s="6">
        <v>91258</v>
      </c>
      <c r="E68" s="6">
        <v>138763</v>
      </c>
    </row>
    <row r="69" spans="1:5" x14ac:dyDescent="0.25">
      <c r="A69" t="s">
        <v>2103</v>
      </c>
      <c r="B69" t="s">
        <v>2104</v>
      </c>
      <c r="C69" t="s">
        <v>2002</v>
      </c>
      <c r="D69" s="6">
        <v>91391</v>
      </c>
      <c r="E69" s="6">
        <v>138821</v>
      </c>
    </row>
    <row r="70" spans="1:5" x14ac:dyDescent="0.25">
      <c r="A70" t="s">
        <v>2105</v>
      </c>
      <c r="B70" t="s">
        <v>2106</v>
      </c>
      <c r="C70" t="s">
        <v>2002</v>
      </c>
      <c r="D70" s="6">
        <v>91363</v>
      </c>
      <c r="E70" s="6">
        <v>138803</v>
      </c>
    </row>
    <row r="71" spans="1:5" x14ac:dyDescent="0.25">
      <c r="A71" t="s">
        <v>2107</v>
      </c>
      <c r="B71" t="s">
        <v>2088</v>
      </c>
      <c r="C71" t="s">
        <v>2002</v>
      </c>
      <c r="D71" s="6">
        <v>91310</v>
      </c>
      <c r="E71" s="6">
        <v>138782</v>
      </c>
    </row>
    <row r="72" spans="1:5" x14ac:dyDescent="0.25">
      <c r="A72" t="s">
        <v>2108</v>
      </c>
      <c r="B72" t="s">
        <v>2109</v>
      </c>
      <c r="C72" t="s">
        <v>2010</v>
      </c>
      <c r="D72" s="6">
        <v>91352</v>
      </c>
      <c r="E72" s="6">
        <v>125571</v>
      </c>
    </row>
    <row r="73" spans="1:5" x14ac:dyDescent="0.25">
      <c r="A73" t="s">
        <v>2110</v>
      </c>
      <c r="B73" t="s">
        <v>2111</v>
      </c>
      <c r="C73" t="s">
        <v>2002</v>
      </c>
      <c r="D73" s="6">
        <v>90816</v>
      </c>
      <c r="E73" s="6">
        <v>138625</v>
      </c>
    </row>
    <row r="74" spans="1:5" x14ac:dyDescent="0.25">
      <c r="A74" t="s">
        <v>2112</v>
      </c>
      <c r="B74" t="s">
        <v>1738</v>
      </c>
      <c r="C74" t="s">
        <v>2002</v>
      </c>
      <c r="D74" s="6">
        <v>91394</v>
      </c>
      <c r="E74" s="6">
        <v>138818</v>
      </c>
    </row>
    <row r="75" spans="1:5" x14ac:dyDescent="0.25">
      <c r="A75" t="s">
        <v>2113</v>
      </c>
      <c r="B75" t="s">
        <v>2114</v>
      </c>
      <c r="C75" t="s">
        <v>2002</v>
      </c>
      <c r="E75" s="6"/>
    </row>
    <row r="76" spans="1:5" x14ac:dyDescent="0.25">
      <c r="A76" t="s">
        <v>2115</v>
      </c>
      <c r="B76" t="s">
        <v>243</v>
      </c>
      <c r="C76" t="s">
        <v>2002</v>
      </c>
      <c r="D76" s="6">
        <v>91760</v>
      </c>
      <c r="E76" s="6">
        <v>139066</v>
      </c>
    </row>
    <row r="77" spans="1:5" x14ac:dyDescent="0.25">
      <c r="A77" t="s">
        <v>2116</v>
      </c>
      <c r="B77" t="s">
        <v>2117</v>
      </c>
      <c r="C77" t="s">
        <v>2002</v>
      </c>
      <c r="D77" s="6">
        <v>91807</v>
      </c>
      <c r="E77" s="6">
        <v>139091</v>
      </c>
    </row>
    <row r="78" spans="1:5" x14ac:dyDescent="0.25">
      <c r="A78" t="s">
        <v>2118</v>
      </c>
      <c r="B78" t="s">
        <v>2114</v>
      </c>
      <c r="C78" t="s">
        <v>2002</v>
      </c>
      <c r="D78" s="6">
        <v>91854</v>
      </c>
      <c r="E78" s="6">
        <v>139110</v>
      </c>
    </row>
    <row r="79" spans="1:5" x14ac:dyDescent="0.25">
      <c r="A79" t="s">
        <v>2119</v>
      </c>
      <c r="B79" t="s">
        <v>2120</v>
      </c>
      <c r="C79" t="s">
        <v>2010</v>
      </c>
      <c r="D79" s="6">
        <v>91809</v>
      </c>
      <c r="E79" s="6">
        <v>138991</v>
      </c>
    </row>
    <row r="80" spans="1:5" x14ac:dyDescent="0.25">
      <c r="A80" t="s">
        <v>2121</v>
      </c>
      <c r="B80" t="s">
        <v>2120</v>
      </c>
      <c r="C80" t="s">
        <v>2010</v>
      </c>
      <c r="D80" s="6">
        <v>91836</v>
      </c>
      <c r="E80" s="6">
        <v>138990</v>
      </c>
    </row>
    <row r="81" spans="1:5" x14ac:dyDescent="0.25">
      <c r="A81" t="s">
        <v>1648</v>
      </c>
      <c r="B81" t="s">
        <v>2122</v>
      </c>
      <c r="C81" t="s">
        <v>2010</v>
      </c>
      <c r="D81" s="6">
        <v>91801</v>
      </c>
      <c r="E81" s="6">
        <v>138692</v>
      </c>
    </row>
    <row r="82" spans="1:5" x14ac:dyDescent="0.25">
      <c r="A82" t="s">
        <v>1756</v>
      </c>
      <c r="B82" t="s">
        <v>2122</v>
      </c>
      <c r="C82" t="s">
        <v>2010</v>
      </c>
      <c r="D82" s="6">
        <v>91803</v>
      </c>
      <c r="E82" s="6">
        <v>138669</v>
      </c>
    </row>
    <row r="83" spans="1:5" x14ac:dyDescent="0.25">
      <c r="A83" t="s">
        <v>2123</v>
      </c>
      <c r="B83" t="s">
        <v>2114</v>
      </c>
      <c r="C83" t="s">
        <v>2002</v>
      </c>
      <c r="D83" s="6">
        <v>91832</v>
      </c>
      <c r="E83" s="6">
        <v>139100</v>
      </c>
    </row>
    <row r="84" spans="1:5" x14ac:dyDescent="0.25">
      <c r="A84" t="s">
        <v>1749</v>
      </c>
      <c r="B84" t="s">
        <v>2124</v>
      </c>
      <c r="C84" t="s">
        <v>2002</v>
      </c>
      <c r="D84" s="6">
        <v>91880</v>
      </c>
      <c r="E84" s="6">
        <v>139122</v>
      </c>
    </row>
    <row r="85" spans="1:5" x14ac:dyDescent="0.25">
      <c r="A85" t="s">
        <v>1930</v>
      </c>
      <c r="B85" t="s">
        <v>1929</v>
      </c>
      <c r="C85" t="s">
        <v>2002</v>
      </c>
      <c r="E85" s="6"/>
    </row>
    <row r="86" spans="1:5" x14ac:dyDescent="0.25">
      <c r="A86" t="s">
        <v>2125</v>
      </c>
      <c r="B86" t="s">
        <v>2126</v>
      </c>
      <c r="C86" t="s">
        <v>2127</v>
      </c>
      <c r="E86" s="6"/>
    </row>
    <row r="87" spans="1:5" x14ac:dyDescent="0.25">
      <c r="A87" t="s">
        <v>2128</v>
      </c>
      <c r="B87" t="s">
        <v>2129</v>
      </c>
      <c r="C87" t="s">
        <v>2002</v>
      </c>
      <c r="E87" s="6"/>
    </row>
    <row r="88" spans="1:5" x14ac:dyDescent="0.25">
      <c r="A88" t="s">
        <v>1745</v>
      </c>
      <c r="B88" t="s">
        <v>1991</v>
      </c>
      <c r="C88" t="s">
        <v>2002</v>
      </c>
      <c r="E88" s="6"/>
    </row>
    <row r="89" spans="1:5" x14ac:dyDescent="0.25">
      <c r="A89" t="s">
        <v>2130</v>
      </c>
      <c r="B89" t="s">
        <v>2131</v>
      </c>
      <c r="C89" t="s">
        <v>2002</v>
      </c>
      <c r="D89" s="6">
        <v>92211</v>
      </c>
      <c r="E89" s="6">
        <v>139298</v>
      </c>
    </row>
    <row r="90" spans="1:5" x14ac:dyDescent="0.25">
      <c r="A90" t="s">
        <v>2132</v>
      </c>
      <c r="B90" t="s">
        <v>2133</v>
      </c>
      <c r="C90" t="s">
        <v>2029</v>
      </c>
      <c r="D90" s="6">
        <v>91863</v>
      </c>
      <c r="E90" s="6">
        <v>137129</v>
      </c>
    </row>
    <row r="91" spans="1:5" x14ac:dyDescent="0.25">
      <c r="A91" t="s">
        <v>1754</v>
      </c>
      <c r="B91" t="s">
        <v>2134</v>
      </c>
      <c r="C91" t="s">
        <v>2010</v>
      </c>
      <c r="D91" s="6">
        <v>91953</v>
      </c>
      <c r="E91" s="6">
        <v>135593</v>
      </c>
    </row>
    <row r="92" spans="1:5" x14ac:dyDescent="0.25">
      <c r="A92" t="s">
        <v>2135</v>
      </c>
      <c r="B92" t="s">
        <v>2136</v>
      </c>
      <c r="C92" t="s">
        <v>2002</v>
      </c>
      <c r="D92" s="6">
        <v>89229</v>
      </c>
      <c r="E92" s="6">
        <v>136104</v>
      </c>
    </row>
    <row r="93" spans="1:5" x14ac:dyDescent="0.25">
      <c r="A93" t="s">
        <v>2137</v>
      </c>
      <c r="B93" t="s">
        <v>2138</v>
      </c>
      <c r="C93" t="s">
        <v>2002</v>
      </c>
      <c r="D93" s="6">
        <v>91978</v>
      </c>
      <c r="E93" s="6">
        <v>139172</v>
      </c>
    </row>
    <row r="94" spans="1:5" x14ac:dyDescent="0.25">
      <c r="A94" t="s">
        <v>2139</v>
      </c>
      <c r="B94" t="s">
        <v>2140</v>
      </c>
      <c r="C94" t="s">
        <v>2002</v>
      </c>
      <c r="D94" s="6">
        <v>91997</v>
      </c>
      <c r="E94" s="6">
        <v>139182</v>
      </c>
    </row>
    <row r="95" spans="1:5" x14ac:dyDescent="0.25">
      <c r="A95" t="s">
        <v>1617</v>
      </c>
      <c r="B95" t="s">
        <v>53</v>
      </c>
      <c r="C95" t="s">
        <v>2010</v>
      </c>
      <c r="D95" s="6">
        <v>92097</v>
      </c>
      <c r="E95" s="6">
        <v>138655</v>
      </c>
    </row>
    <row r="96" spans="1:5" x14ac:dyDescent="0.25">
      <c r="A96" t="s">
        <v>2141</v>
      </c>
      <c r="B96" t="s">
        <v>2142</v>
      </c>
      <c r="C96" t="s">
        <v>2002</v>
      </c>
      <c r="E96" s="6"/>
    </row>
    <row r="97" spans="1:5" x14ac:dyDescent="0.25">
      <c r="A97" t="s">
        <v>1746</v>
      </c>
      <c r="B97" t="s">
        <v>2117</v>
      </c>
      <c r="D97" s="6">
        <v>92210</v>
      </c>
      <c r="E97" s="6">
        <v>139296</v>
      </c>
    </row>
    <row r="98" spans="1:5" x14ac:dyDescent="0.25">
      <c r="A98" t="s">
        <v>2143</v>
      </c>
      <c r="B98" t="s">
        <v>2144</v>
      </c>
      <c r="C98" t="s">
        <v>2002</v>
      </c>
      <c r="D98" s="6">
        <v>92209</v>
      </c>
      <c r="E98" s="6">
        <v>139297</v>
      </c>
    </row>
    <row r="99" spans="1:5" x14ac:dyDescent="0.25">
      <c r="A99" t="s">
        <v>2145</v>
      </c>
      <c r="B99" t="s">
        <v>2146</v>
      </c>
      <c r="C99" t="s">
        <v>2002</v>
      </c>
      <c r="D99" s="6">
        <v>92223</v>
      </c>
      <c r="E99" s="6">
        <v>139302</v>
      </c>
    </row>
    <row r="100" spans="1:5" x14ac:dyDescent="0.25">
      <c r="A100" t="s">
        <v>1619</v>
      </c>
      <c r="B100" t="s">
        <v>1739</v>
      </c>
      <c r="C100" t="s">
        <v>2002</v>
      </c>
      <c r="D100" s="6">
        <v>92352</v>
      </c>
      <c r="E100" s="6">
        <v>139348</v>
      </c>
    </row>
    <row r="101" spans="1:5" x14ac:dyDescent="0.25">
      <c r="A101" t="s">
        <v>303</v>
      </c>
      <c r="B101" t="s">
        <v>304</v>
      </c>
      <c r="C101" t="s">
        <v>2002</v>
      </c>
      <c r="D101" s="6">
        <v>92350</v>
      </c>
      <c r="E101" s="6">
        <v>139346</v>
      </c>
    </row>
    <row r="102" spans="1:5" x14ac:dyDescent="0.25">
      <c r="A102" t="s">
        <v>2147</v>
      </c>
      <c r="B102" t="s">
        <v>2148</v>
      </c>
      <c r="C102" t="s">
        <v>2127</v>
      </c>
      <c r="D102" s="6">
        <v>92299</v>
      </c>
      <c r="E102" s="6">
        <v>134515</v>
      </c>
    </row>
    <row r="103" spans="1:5" x14ac:dyDescent="0.25">
      <c r="A103" t="s">
        <v>2149</v>
      </c>
      <c r="B103" t="s">
        <v>1583</v>
      </c>
      <c r="C103" t="s">
        <v>2010</v>
      </c>
      <c r="D103" s="6">
        <v>92195</v>
      </c>
      <c r="E103" s="6">
        <v>138646</v>
      </c>
    </row>
    <row r="104" spans="1:5" x14ac:dyDescent="0.25">
      <c r="A104" t="s">
        <v>2150</v>
      </c>
      <c r="B104" t="s">
        <v>2041</v>
      </c>
      <c r="C104" t="s">
        <v>2010</v>
      </c>
      <c r="D104" s="6">
        <v>92199</v>
      </c>
      <c r="E104" s="6">
        <v>138999</v>
      </c>
    </row>
    <row r="105" spans="1:5" x14ac:dyDescent="0.25">
      <c r="A105" t="s">
        <v>2151</v>
      </c>
      <c r="B105" t="s">
        <v>2129</v>
      </c>
      <c r="C105" t="s">
        <v>2002</v>
      </c>
      <c r="D105" s="6">
        <v>92007</v>
      </c>
      <c r="E105" s="6">
        <v>139199</v>
      </c>
    </row>
    <row r="106" spans="1:5" x14ac:dyDescent="0.25">
      <c r="A106" t="s">
        <v>2152</v>
      </c>
      <c r="B106" t="s">
        <v>2117</v>
      </c>
      <c r="C106" t="s">
        <v>2002</v>
      </c>
      <c r="D106" s="6">
        <v>92257</v>
      </c>
      <c r="E106" s="6">
        <v>139321</v>
      </c>
    </row>
    <row r="107" spans="1:5" x14ac:dyDescent="0.25">
      <c r="A107" t="s">
        <v>2153</v>
      </c>
      <c r="B107" t="s">
        <v>2154</v>
      </c>
      <c r="C107" t="s">
        <v>2002</v>
      </c>
      <c r="D107" s="6">
        <v>92321</v>
      </c>
      <c r="E107" s="6">
        <v>139327</v>
      </c>
    </row>
    <row r="108" spans="1:5" x14ac:dyDescent="0.25">
      <c r="A108" t="s">
        <v>1658</v>
      </c>
      <c r="B108" t="s">
        <v>2155</v>
      </c>
      <c r="C108" t="s">
        <v>2002</v>
      </c>
      <c r="D108" s="6">
        <v>92439</v>
      </c>
      <c r="E108" s="6">
        <v>139398</v>
      </c>
    </row>
    <row r="109" spans="1:5" x14ac:dyDescent="0.25">
      <c r="A109" t="s">
        <v>2156</v>
      </c>
      <c r="B109" t="s">
        <v>2157</v>
      </c>
      <c r="C109" t="s">
        <v>2127</v>
      </c>
      <c r="D109" s="6">
        <v>92557</v>
      </c>
      <c r="E109" s="6">
        <v>134178</v>
      </c>
    </row>
    <row r="110" spans="1:5" x14ac:dyDescent="0.25">
      <c r="A110" t="s">
        <v>1750</v>
      </c>
      <c r="B110" t="s">
        <v>1739</v>
      </c>
      <c r="C110" t="s">
        <v>2127</v>
      </c>
      <c r="D110" s="6">
        <v>92561</v>
      </c>
      <c r="E110" s="6">
        <v>134192</v>
      </c>
    </row>
    <row r="111" spans="1:5" x14ac:dyDescent="0.25">
      <c r="A111" t="s">
        <v>2158</v>
      </c>
      <c r="B111" t="s">
        <v>2159</v>
      </c>
      <c r="C111" t="s">
        <v>2127</v>
      </c>
      <c r="D111" s="6">
        <v>92564</v>
      </c>
      <c r="E111" s="6">
        <v>135804</v>
      </c>
    </row>
    <row r="112" spans="1:5" x14ac:dyDescent="0.25">
      <c r="A112" t="s">
        <v>1752</v>
      </c>
      <c r="B112" t="s">
        <v>2160</v>
      </c>
      <c r="C112" t="s">
        <v>2127</v>
      </c>
      <c r="D112" s="6">
        <v>92598</v>
      </c>
      <c r="E112" s="6">
        <v>134232</v>
      </c>
    </row>
    <row r="113" spans="1:5" x14ac:dyDescent="0.25">
      <c r="A113" t="s">
        <v>1741</v>
      </c>
      <c r="B113" t="s">
        <v>2161</v>
      </c>
      <c r="C113" t="s">
        <v>2127</v>
      </c>
      <c r="D113" s="6">
        <v>92576</v>
      </c>
      <c r="E113" s="6">
        <v>135143</v>
      </c>
    </row>
    <row r="114" spans="1:5" x14ac:dyDescent="0.25">
      <c r="A114" t="s">
        <v>2162</v>
      </c>
      <c r="B114" t="s">
        <v>2163</v>
      </c>
      <c r="C114" t="s">
        <v>2127</v>
      </c>
      <c r="D114" s="6">
        <v>92638</v>
      </c>
      <c r="E114" s="6">
        <v>134176</v>
      </c>
    </row>
    <row r="115" spans="1:5" x14ac:dyDescent="0.25">
      <c r="A115" t="s">
        <v>2164</v>
      </c>
      <c r="B115" t="s">
        <v>2165</v>
      </c>
      <c r="C115" t="s">
        <v>2127</v>
      </c>
      <c r="D115" s="6">
        <v>92644</v>
      </c>
      <c r="E115" s="6">
        <v>134311</v>
      </c>
    </row>
    <row r="116" spans="1:5" x14ac:dyDescent="0.25">
      <c r="A116" t="s">
        <v>1931</v>
      </c>
      <c r="B116" t="s">
        <v>632</v>
      </c>
      <c r="C116" t="s">
        <v>2002</v>
      </c>
      <c r="D116" s="6">
        <v>85247</v>
      </c>
      <c r="E116" s="6">
        <v>131479</v>
      </c>
    </row>
    <row r="117" spans="1:5" x14ac:dyDescent="0.25">
      <c r="A117" t="s">
        <v>2166</v>
      </c>
      <c r="B117" t="s">
        <v>1765</v>
      </c>
      <c r="C117" t="s">
        <v>2002</v>
      </c>
      <c r="D117" s="6">
        <v>92332</v>
      </c>
      <c r="E117" s="6">
        <v>139333</v>
      </c>
    </row>
    <row r="118" spans="1:5" x14ac:dyDescent="0.25">
      <c r="A118" t="s">
        <v>2167</v>
      </c>
      <c r="B118" t="s">
        <v>1724</v>
      </c>
      <c r="C118" t="s">
        <v>2127</v>
      </c>
      <c r="D118" s="6">
        <v>92774</v>
      </c>
      <c r="E118" s="6">
        <v>134166</v>
      </c>
    </row>
    <row r="119" spans="1:5" x14ac:dyDescent="0.25">
      <c r="A119" t="s">
        <v>1755</v>
      </c>
      <c r="B119" t="s">
        <v>2168</v>
      </c>
      <c r="C119" t="s">
        <v>2127</v>
      </c>
      <c r="D119" s="6">
        <v>92773</v>
      </c>
      <c r="E119" s="6">
        <v>134275</v>
      </c>
    </row>
    <row r="120" spans="1:5" x14ac:dyDescent="0.25">
      <c r="A120" t="s">
        <v>2169</v>
      </c>
      <c r="B120" t="s">
        <v>2170</v>
      </c>
      <c r="C120" t="s">
        <v>2127</v>
      </c>
      <c r="D120" s="6">
        <v>92767</v>
      </c>
      <c r="E120" s="6">
        <v>139519</v>
      </c>
    </row>
    <row r="121" spans="1:5" x14ac:dyDescent="0.25">
      <c r="A121" t="s">
        <v>2171</v>
      </c>
      <c r="B121" t="s">
        <v>1763</v>
      </c>
      <c r="C121" t="s">
        <v>2010</v>
      </c>
      <c r="D121" s="6">
        <v>92796</v>
      </c>
      <c r="E121" s="6">
        <v>138657</v>
      </c>
    </row>
    <row r="122" spans="1:5" x14ac:dyDescent="0.25">
      <c r="A122" t="s">
        <v>2172</v>
      </c>
      <c r="B122" t="s">
        <v>2173</v>
      </c>
      <c r="C122" t="s">
        <v>2002</v>
      </c>
      <c r="D122" s="6">
        <v>91977</v>
      </c>
      <c r="E122" s="6">
        <v>139171</v>
      </c>
    </row>
    <row r="123" spans="1:5" x14ac:dyDescent="0.25">
      <c r="A123" t="s">
        <v>2174</v>
      </c>
      <c r="B123" t="s">
        <v>2142</v>
      </c>
      <c r="C123" t="s">
        <v>2002</v>
      </c>
      <c r="D123" s="6">
        <v>92921</v>
      </c>
      <c r="E123" s="6">
        <v>139697</v>
      </c>
    </row>
    <row r="124" spans="1:5" x14ac:dyDescent="0.25">
      <c r="A124" t="s">
        <v>1743</v>
      </c>
      <c r="B124" t="s">
        <v>226</v>
      </c>
      <c r="C124" t="s">
        <v>2002</v>
      </c>
      <c r="E124" s="6"/>
    </row>
    <row r="125" spans="1:5" x14ac:dyDescent="0.25">
      <c r="A125" t="s">
        <v>2175</v>
      </c>
      <c r="B125" t="s">
        <v>2176</v>
      </c>
      <c r="C125" t="s">
        <v>2127</v>
      </c>
      <c r="D125" s="6">
        <v>92925</v>
      </c>
      <c r="E125" s="6">
        <v>134183</v>
      </c>
    </row>
    <row r="126" spans="1:5" x14ac:dyDescent="0.25">
      <c r="A126" t="s">
        <v>2177</v>
      </c>
      <c r="B126" t="s">
        <v>2178</v>
      </c>
      <c r="C126" t="s">
        <v>2127</v>
      </c>
      <c r="D126" s="6">
        <v>92928</v>
      </c>
      <c r="E126" s="6">
        <v>134201</v>
      </c>
    </row>
    <row r="127" spans="1:5" x14ac:dyDescent="0.25">
      <c r="A127" t="s">
        <v>1757</v>
      </c>
      <c r="B127" t="s">
        <v>2179</v>
      </c>
      <c r="C127" t="s">
        <v>2127</v>
      </c>
      <c r="D127" s="6">
        <v>92927</v>
      </c>
      <c r="E127" s="6">
        <v>134195</v>
      </c>
    </row>
    <row r="128" spans="1:5" x14ac:dyDescent="0.25">
      <c r="A128" t="s">
        <v>2180</v>
      </c>
      <c r="B128" t="s">
        <v>2181</v>
      </c>
      <c r="C128" t="s">
        <v>2127</v>
      </c>
      <c r="D128" s="6">
        <v>92924</v>
      </c>
      <c r="E128" s="6">
        <v>134227</v>
      </c>
    </row>
    <row r="129" spans="1:5" x14ac:dyDescent="0.25">
      <c r="A129" t="s">
        <v>2182</v>
      </c>
      <c r="B129" t="s">
        <v>2011</v>
      </c>
      <c r="C129" t="s">
        <v>2127</v>
      </c>
      <c r="D129" s="6">
        <v>92944</v>
      </c>
      <c r="E129" s="6">
        <v>134539</v>
      </c>
    </row>
    <row r="130" spans="1:5" x14ac:dyDescent="0.25">
      <c r="A130" t="s">
        <v>2183</v>
      </c>
      <c r="B130" t="s">
        <v>1721</v>
      </c>
      <c r="C130" t="s">
        <v>2127</v>
      </c>
      <c r="D130" s="6">
        <v>93968</v>
      </c>
      <c r="E130" s="6">
        <v>134573</v>
      </c>
    </row>
    <row r="131" spans="1:5" x14ac:dyDescent="0.25">
      <c r="A131" t="s">
        <v>1742</v>
      </c>
      <c r="B131" t="s">
        <v>2083</v>
      </c>
      <c r="C131" t="s">
        <v>2127</v>
      </c>
      <c r="D131" s="6">
        <v>92950</v>
      </c>
      <c r="E131" s="6">
        <v>134552</v>
      </c>
    </row>
    <row r="132" spans="1:5" x14ac:dyDescent="0.25">
      <c r="A132" t="s">
        <v>2184</v>
      </c>
      <c r="B132" t="s">
        <v>1717</v>
      </c>
      <c r="C132" t="s">
        <v>2127</v>
      </c>
      <c r="D132" s="6">
        <v>92969</v>
      </c>
      <c r="E132" s="6">
        <v>134541</v>
      </c>
    </row>
    <row r="133" spans="1:5" x14ac:dyDescent="0.25">
      <c r="A133" t="s">
        <v>2185</v>
      </c>
      <c r="B133" t="s">
        <v>2186</v>
      </c>
      <c r="C133" t="s">
        <v>2127</v>
      </c>
      <c r="D133" s="6">
        <v>92976</v>
      </c>
      <c r="E133" s="6">
        <v>139711</v>
      </c>
    </row>
    <row r="134" spans="1:5" x14ac:dyDescent="0.25">
      <c r="A134" t="s">
        <v>1760</v>
      </c>
      <c r="B134" t="s">
        <v>2187</v>
      </c>
      <c r="C134" t="s">
        <v>2002</v>
      </c>
      <c r="D134" s="6">
        <v>92919</v>
      </c>
      <c r="E134" s="6">
        <v>139699</v>
      </c>
    </row>
    <row r="135" spans="1:5" x14ac:dyDescent="0.25">
      <c r="A135" t="s">
        <v>2188</v>
      </c>
      <c r="B135" t="s">
        <v>2189</v>
      </c>
      <c r="C135" t="s">
        <v>2002</v>
      </c>
      <c r="D135" s="6">
        <v>93264</v>
      </c>
      <c r="E135" s="6">
        <v>140876</v>
      </c>
    </row>
    <row r="136" spans="1:5" x14ac:dyDescent="0.25">
      <c r="A136" t="s">
        <v>2190</v>
      </c>
      <c r="B136" t="s">
        <v>417</v>
      </c>
      <c r="C136" t="s">
        <v>2002</v>
      </c>
      <c r="D136" s="6">
        <v>93260</v>
      </c>
      <c r="E136" s="6">
        <v>140886</v>
      </c>
    </row>
    <row r="137" spans="1:5" x14ac:dyDescent="0.25">
      <c r="A137" t="s">
        <v>2191</v>
      </c>
      <c r="B137" t="s">
        <v>2192</v>
      </c>
      <c r="C137" t="s">
        <v>2002</v>
      </c>
      <c r="D137" s="6">
        <v>93259</v>
      </c>
      <c r="E137" s="6">
        <v>140887</v>
      </c>
    </row>
    <row r="138" spans="1:5" x14ac:dyDescent="0.25">
      <c r="A138" t="s">
        <v>2193</v>
      </c>
      <c r="B138" t="s">
        <v>2194</v>
      </c>
      <c r="C138" t="s">
        <v>2127</v>
      </c>
      <c r="D138" s="6">
        <v>93184</v>
      </c>
      <c r="E138" s="6">
        <v>134193</v>
      </c>
    </row>
    <row r="139" spans="1:5" x14ac:dyDescent="0.25">
      <c r="A139" t="s">
        <v>2195</v>
      </c>
      <c r="B139" t="s">
        <v>2196</v>
      </c>
      <c r="C139" t="s">
        <v>2127</v>
      </c>
      <c r="D139" s="6">
        <v>93188</v>
      </c>
      <c r="E139" s="6">
        <v>134555</v>
      </c>
    </row>
    <row r="140" spans="1:5" x14ac:dyDescent="0.25">
      <c r="A140" t="s">
        <v>2197</v>
      </c>
      <c r="B140" t="s">
        <v>2198</v>
      </c>
      <c r="C140" t="s">
        <v>2127</v>
      </c>
      <c r="D140" s="6">
        <v>93226</v>
      </c>
      <c r="E140" s="6">
        <v>134237</v>
      </c>
    </row>
    <row r="141" spans="1:5" x14ac:dyDescent="0.25">
      <c r="A141" t="s">
        <v>2199</v>
      </c>
      <c r="B141" t="s">
        <v>1731</v>
      </c>
      <c r="C141" t="s">
        <v>2127</v>
      </c>
      <c r="D141" s="6">
        <v>93227</v>
      </c>
      <c r="E141" s="6">
        <v>134307</v>
      </c>
    </row>
    <row r="142" spans="1:5" x14ac:dyDescent="0.25">
      <c r="A142" t="s">
        <v>2200</v>
      </c>
      <c r="B142" t="s">
        <v>2201</v>
      </c>
      <c r="C142" t="s">
        <v>2127</v>
      </c>
      <c r="D142" s="6">
        <v>93230</v>
      </c>
      <c r="E142" s="6">
        <v>134208</v>
      </c>
    </row>
    <row r="143" spans="1:5" x14ac:dyDescent="0.25">
      <c r="A143" t="s">
        <v>2202</v>
      </c>
      <c r="B143" t="s">
        <v>2203</v>
      </c>
      <c r="C143" t="s">
        <v>2002</v>
      </c>
      <c r="D143" s="6">
        <v>93164</v>
      </c>
      <c r="E143" s="6">
        <v>140851</v>
      </c>
    </row>
    <row r="144" spans="1:5" x14ac:dyDescent="0.25">
      <c r="A144" t="s">
        <v>2204</v>
      </c>
      <c r="B144" t="s">
        <v>2205</v>
      </c>
      <c r="C144" t="s">
        <v>2002</v>
      </c>
      <c r="D144" s="6">
        <v>93283</v>
      </c>
      <c r="E144" s="6">
        <v>140895</v>
      </c>
    </row>
    <row r="145" spans="1:5" x14ac:dyDescent="0.25">
      <c r="A145" t="s">
        <v>1759</v>
      </c>
      <c r="B145" t="s">
        <v>2056</v>
      </c>
      <c r="C145" t="s">
        <v>2002</v>
      </c>
      <c r="E145" s="6"/>
    </row>
    <row r="146" spans="1:5" x14ac:dyDescent="0.25">
      <c r="A146" t="s">
        <v>2206</v>
      </c>
      <c r="B146" t="s">
        <v>2207</v>
      </c>
      <c r="C146" t="s">
        <v>2010</v>
      </c>
      <c r="D146" s="6">
        <v>93321</v>
      </c>
      <c r="E146" s="6" t="s">
        <v>2208</v>
      </c>
    </row>
    <row r="147" spans="1:5" x14ac:dyDescent="0.25">
      <c r="A147" t="s">
        <v>2209</v>
      </c>
      <c r="B147" t="s">
        <v>2210</v>
      </c>
      <c r="C147" t="s">
        <v>2002</v>
      </c>
      <c r="D147" s="6">
        <v>92693</v>
      </c>
      <c r="E147" s="6">
        <v>139494</v>
      </c>
    </row>
    <row r="148" spans="1:5" x14ac:dyDescent="0.25">
      <c r="A148" t="s">
        <v>1591</v>
      </c>
      <c r="B148" t="s">
        <v>2025</v>
      </c>
      <c r="C148" t="s">
        <v>2010</v>
      </c>
      <c r="D148" s="6">
        <v>93224</v>
      </c>
      <c r="E148" s="6">
        <v>138887</v>
      </c>
    </row>
    <row r="149" spans="1:5" x14ac:dyDescent="0.25">
      <c r="A149" t="s">
        <v>2211</v>
      </c>
      <c r="B149" t="s">
        <v>2212</v>
      </c>
      <c r="C149" t="s">
        <v>2002</v>
      </c>
      <c r="D149" s="6">
        <v>93324</v>
      </c>
      <c r="E149" s="6">
        <v>140906</v>
      </c>
    </row>
    <row r="150" spans="1:5" x14ac:dyDescent="0.25">
      <c r="A150" t="s">
        <v>2213</v>
      </c>
      <c r="B150" t="s">
        <v>2146</v>
      </c>
      <c r="C150" t="s">
        <v>2002</v>
      </c>
      <c r="D150" s="6">
        <v>93137</v>
      </c>
      <c r="E150" s="6">
        <v>140831</v>
      </c>
    </row>
    <row r="151" spans="1:5" x14ac:dyDescent="0.25">
      <c r="A151" t="s">
        <v>2214</v>
      </c>
      <c r="B151" t="s">
        <v>440</v>
      </c>
      <c r="C151" t="s">
        <v>2002</v>
      </c>
      <c r="D151" s="6">
        <v>93485</v>
      </c>
      <c r="E151" s="6">
        <v>141014</v>
      </c>
    </row>
    <row r="152" spans="1:5" x14ac:dyDescent="0.25">
      <c r="A152" t="s">
        <v>1606</v>
      </c>
      <c r="B152" t="s">
        <v>2215</v>
      </c>
      <c r="C152" t="s">
        <v>2127</v>
      </c>
      <c r="D152" s="6">
        <v>93482</v>
      </c>
      <c r="E152" s="6">
        <v>134289</v>
      </c>
    </row>
    <row r="153" spans="1:5" x14ac:dyDescent="0.25">
      <c r="A153" t="s">
        <v>2216</v>
      </c>
      <c r="B153" t="s">
        <v>1728</v>
      </c>
      <c r="C153" t="s">
        <v>2127</v>
      </c>
      <c r="D153" s="6">
        <v>93454</v>
      </c>
      <c r="E153" s="6">
        <v>34273</v>
      </c>
    </row>
    <row r="154" spans="1:5" x14ac:dyDescent="0.25">
      <c r="A154" t="s">
        <v>2217</v>
      </c>
      <c r="B154" t="s">
        <v>2218</v>
      </c>
      <c r="C154" t="s">
        <v>2127</v>
      </c>
      <c r="D154" s="6">
        <v>93452</v>
      </c>
      <c r="E154" s="6">
        <v>134159</v>
      </c>
    </row>
    <row r="155" spans="1:5" x14ac:dyDescent="0.25">
      <c r="A155" t="s">
        <v>2219</v>
      </c>
      <c r="B155" t="s">
        <v>2220</v>
      </c>
      <c r="C155" t="s">
        <v>2127</v>
      </c>
      <c r="D155" s="6">
        <v>93480</v>
      </c>
      <c r="E155" s="6">
        <v>134268</v>
      </c>
    </row>
    <row r="156" spans="1:5" x14ac:dyDescent="0.25">
      <c r="A156" t="s">
        <v>2221</v>
      </c>
      <c r="B156" t="s">
        <v>2222</v>
      </c>
      <c r="C156" t="s">
        <v>2127</v>
      </c>
      <c r="D156" s="6">
        <v>93451</v>
      </c>
      <c r="E156" s="6">
        <v>134286</v>
      </c>
    </row>
    <row r="157" spans="1:5" x14ac:dyDescent="0.25">
      <c r="A157" t="s">
        <v>1624</v>
      </c>
      <c r="B157" t="s">
        <v>1764</v>
      </c>
      <c r="C157" t="s">
        <v>2010</v>
      </c>
      <c r="D157" s="6">
        <v>93439</v>
      </c>
      <c r="E157" s="6">
        <v>139063</v>
      </c>
    </row>
    <row r="158" spans="1:5" x14ac:dyDescent="0.25">
      <c r="A158" t="s">
        <v>2223</v>
      </c>
      <c r="B158" t="s">
        <v>87</v>
      </c>
      <c r="C158" t="s">
        <v>2002</v>
      </c>
      <c r="E158" s="6"/>
    </row>
    <row r="159" spans="1:5" x14ac:dyDescent="0.25">
      <c r="A159" t="s">
        <v>2224</v>
      </c>
      <c r="B159" t="s">
        <v>2225</v>
      </c>
      <c r="C159" t="s">
        <v>2002</v>
      </c>
      <c r="D159" s="6">
        <v>93419</v>
      </c>
      <c r="E159" s="6">
        <v>140946</v>
      </c>
    </row>
    <row r="160" spans="1:5" x14ac:dyDescent="0.25">
      <c r="A160" t="s">
        <v>2226</v>
      </c>
      <c r="B160" t="s">
        <v>2227</v>
      </c>
      <c r="C160" t="s">
        <v>2002</v>
      </c>
      <c r="D160" s="6">
        <v>93632</v>
      </c>
      <c r="E160" s="6">
        <v>141149</v>
      </c>
    </row>
    <row r="161" spans="1:5" x14ac:dyDescent="0.25">
      <c r="A161" t="s">
        <v>2228</v>
      </c>
      <c r="B161" t="s">
        <v>2229</v>
      </c>
      <c r="C161" t="s">
        <v>2002</v>
      </c>
      <c r="D161" s="6">
        <v>93166</v>
      </c>
      <c r="E161" s="6">
        <v>140849</v>
      </c>
    </row>
    <row r="162" spans="1:5" x14ac:dyDescent="0.25">
      <c r="A162" t="s">
        <v>2230</v>
      </c>
      <c r="B162" t="s">
        <v>1765</v>
      </c>
      <c r="C162" t="s">
        <v>2002</v>
      </c>
      <c r="D162" s="6">
        <v>92332</v>
      </c>
      <c r="E162" s="6">
        <v>139333</v>
      </c>
    </row>
    <row r="163" spans="1:5" x14ac:dyDescent="0.25">
      <c r="A163" t="s">
        <v>1769</v>
      </c>
      <c r="B163" t="s">
        <v>53</v>
      </c>
      <c r="C163" t="s">
        <v>2010</v>
      </c>
      <c r="D163" s="6">
        <v>91046</v>
      </c>
      <c r="E163" s="6">
        <v>138658</v>
      </c>
    </row>
    <row r="164" spans="1:5" x14ac:dyDescent="0.25">
      <c r="A164" t="s">
        <v>2231</v>
      </c>
      <c r="B164" t="s">
        <v>2232</v>
      </c>
      <c r="C164" t="s">
        <v>2002</v>
      </c>
      <c r="E164" s="6"/>
    </row>
    <row r="165" spans="1:5" x14ac:dyDescent="0.25">
      <c r="A165" t="s">
        <v>2233</v>
      </c>
      <c r="B165" t="s">
        <v>2234</v>
      </c>
      <c r="C165" t="s">
        <v>2127</v>
      </c>
      <c r="D165" s="6">
        <v>93750</v>
      </c>
      <c r="E165" s="6">
        <v>134287</v>
      </c>
    </row>
    <row r="166" spans="1:5" x14ac:dyDescent="0.25">
      <c r="A166" t="s">
        <v>2235</v>
      </c>
      <c r="B166" t="s">
        <v>2236</v>
      </c>
      <c r="C166" t="s">
        <v>2127</v>
      </c>
      <c r="D166" s="6">
        <v>93720</v>
      </c>
      <c r="E166" s="6">
        <v>134216</v>
      </c>
    </row>
    <row r="167" spans="1:5" x14ac:dyDescent="0.25">
      <c r="A167" t="s">
        <v>2237</v>
      </c>
      <c r="B167" t="s">
        <v>2238</v>
      </c>
      <c r="C167" t="s">
        <v>2127</v>
      </c>
      <c r="D167" s="6">
        <v>93721</v>
      </c>
      <c r="E167" s="6">
        <v>134254</v>
      </c>
    </row>
    <row r="168" spans="1:5" x14ac:dyDescent="0.25">
      <c r="A168" t="s">
        <v>2239</v>
      </c>
      <c r="B168" t="s">
        <v>218</v>
      </c>
      <c r="C168" t="s">
        <v>2240</v>
      </c>
      <c r="D168" s="6">
        <v>93698</v>
      </c>
      <c r="E168" s="6" t="s">
        <v>2241</v>
      </c>
    </row>
    <row r="169" spans="1:5" x14ac:dyDescent="0.25">
      <c r="A169" t="s">
        <v>2242</v>
      </c>
      <c r="B169" t="s">
        <v>2136</v>
      </c>
      <c r="C169" t="s">
        <v>2127</v>
      </c>
      <c r="D169" s="6">
        <v>93874</v>
      </c>
      <c r="E169" s="6">
        <v>134542</v>
      </c>
    </row>
    <row r="170" spans="1:5" x14ac:dyDescent="0.25">
      <c r="A170" t="s">
        <v>2243</v>
      </c>
      <c r="B170" t="s">
        <v>1512</v>
      </c>
      <c r="C170" t="s">
        <v>2127</v>
      </c>
      <c r="D170" s="6">
        <v>93871</v>
      </c>
      <c r="E170" s="6">
        <v>134282</v>
      </c>
    </row>
    <row r="171" spans="1:5" x14ac:dyDescent="0.25">
      <c r="A171" t="s">
        <v>1613</v>
      </c>
      <c r="B171" t="s">
        <v>1761</v>
      </c>
      <c r="C171" t="s">
        <v>2244</v>
      </c>
      <c r="D171" s="6">
        <v>93864</v>
      </c>
      <c r="E171" s="6">
        <v>136155</v>
      </c>
    </row>
    <row r="172" spans="1:5" x14ac:dyDescent="0.25">
      <c r="A172" t="s">
        <v>2245</v>
      </c>
      <c r="B172" t="s">
        <v>2134</v>
      </c>
      <c r="C172" t="s">
        <v>2002</v>
      </c>
      <c r="E172" s="6"/>
    </row>
    <row r="173" spans="1:5" x14ac:dyDescent="0.25">
      <c r="A173" t="s">
        <v>2246</v>
      </c>
      <c r="B173" t="s">
        <v>707</v>
      </c>
      <c r="C173" t="s">
        <v>2002</v>
      </c>
      <c r="D173" s="6">
        <v>94022</v>
      </c>
      <c r="E173" s="6">
        <v>141287</v>
      </c>
    </row>
    <row r="174" spans="1:5" x14ac:dyDescent="0.25">
      <c r="A174" t="s">
        <v>2247</v>
      </c>
      <c r="B174" t="s">
        <v>2248</v>
      </c>
      <c r="C174" t="s">
        <v>2127</v>
      </c>
      <c r="D174" s="6">
        <v>93925</v>
      </c>
      <c r="E174" s="6">
        <v>134162</v>
      </c>
    </row>
    <row r="175" spans="1:5" x14ac:dyDescent="0.25">
      <c r="A175" t="s">
        <v>2249</v>
      </c>
      <c r="B175" t="s">
        <v>2250</v>
      </c>
      <c r="C175" t="s">
        <v>2127</v>
      </c>
      <c r="D175" s="6">
        <v>93926</v>
      </c>
      <c r="E175" s="6">
        <v>134194</v>
      </c>
    </row>
    <row r="176" spans="1:5" x14ac:dyDescent="0.25">
      <c r="A176" t="s">
        <v>2251</v>
      </c>
      <c r="B176" t="s">
        <v>2252</v>
      </c>
      <c r="C176" t="s">
        <v>2127</v>
      </c>
      <c r="D176" s="6">
        <v>93959</v>
      </c>
      <c r="E176" s="6">
        <v>141265</v>
      </c>
    </row>
    <row r="177" spans="1:5" x14ac:dyDescent="0.25">
      <c r="A177" t="s">
        <v>1635</v>
      </c>
      <c r="B177" t="s">
        <v>2253</v>
      </c>
      <c r="C177" t="s">
        <v>2002</v>
      </c>
      <c r="D177" s="6">
        <v>94153</v>
      </c>
      <c r="E177" s="6">
        <v>141420</v>
      </c>
    </row>
    <row r="178" spans="1:5" x14ac:dyDescent="0.25">
      <c r="A178" t="s">
        <v>2254</v>
      </c>
      <c r="B178" t="s">
        <v>1586</v>
      </c>
      <c r="C178" t="s">
        <v>2010</v>
      </c>
      <c r="D178" s="6">
        <v>93724</v>
      </c>
      <c r="E178" s="6">
        <v>139250</v>
      </c>
    </row>
    <row r="179" spans="1:5" x14ac:dyDescent="0.25">
      <c r="A179" t="s">
        <v>1660</v>
      </c>
      <c r="B179" t="s">
        <v>1586</v>
      </c>
      <c r="C179" t="s">
        <v>2035</v>
      </c>
      <c r="D179" s="6">
        <v>93726</v>
      </c>
      <c r="E179" s="6">
        <v>139251</v>
      </c>
    </row>
    <row r="180" spans="1:5" x14ac:dyDescent="0.25">
      <c r="A180" t="s">
        <v>2255</v>
      </c>
      <c r="B180" t="s">
        <v>2256</v>
      </c>
      <c r="C180" t="s">
        <v>2002</v>
      </c>
      <c r="E180" s="6"/>
    </row>
    <row r="181" spans="1:5" x14ac:dyDescent="0.25">
      <c r="A181" t="s">
        <v>2257</v>
      </c>
      <c r="B181" t="s">
        <v>2258</v>
      </c>
      <c r="C181" t="s">
        <v>2002</v>
      </c>
      <c r="E181" s="6"/>
    </row>
    <row r="182" spans="1:5" x14ac:dyDescent="0.25">
      <c r="A182" t="s">
        <v>2259</v>
      </c>
      <c r="B182" t="s">
        <v>2260</v>
      </c>
      <c r="C182" t="s">
        <v>2002</v>
      </c>
      <c r="D182" s="6">
        <v>93856</v>
      </c>
      <c r="E182" s="6">
        <v>141228</v>
      </c>
    </row>
    <row r="183" spans="1:5" x14ac:dyDescent="0.25">
      <c r="A183" t="s">
        <v>2261</v>
      </c>
      <c r="B183" t="s">
        <v>2262</v>
      </c>
      <c r="C183" t="s">
        <v>2002</v>
      </c>
      <c r="D183" s="6">
        <v>94197</v>
      </c>
      <c r="E183" s="6">
        <v>141449</v>
      </c>
    </row>
    <row r="184" spans="1:5" x14ac:dyDescent="0.25">
      <c r="A184" t="s">
        <v>2263</v>
      </c>
      <c r="B184" t="s">
        <v>2264</v>
      </c>
      <c r="C184" t="s">
        <v>2002</v>
      </c>
      <c r="E184" s="6"/>
    </row>
    <row r="185" spans="1:5" x14ac:dyDescent="0.25">
      <c r="A185" t="s">
        <v>2265</v>
      </c>
      <c r="B185" t="s">
        <v>2266</v>
      </c>
      <c r="C185" t="s">
        <v>2002</v>
      </c>
      <c r="E185" s="6"/>
    </row>
    <row r="186" spans="1:5" x14ac:dyDescent="0.25">
      <c r="A186" t="s">
        <v>2267</v>
      </c>
      <c r="B186" t="s">
        <v>2268</v>
      </c>
      <c r="C186" t="s">
        <v>2002</v>
      </c>
      <c r="E186" s="6"/>
    </row>
    <row r="187" spans="1:5" x14ac:dyDescent="0.25">
      <c r="A187" t="s">
        <v>2269</v>
      </c>
      <c r="B187" t="s">
        <v>2270</v>
      </c>
      <c r="C187" t="s">
        <v>2127</v>
      </c>
      <c r="D187" s="6">
        <v>194278</v>
      </c>
      <c r="E187" s="6">
        <v>141500</v>
      </c>
    </row>
    <row r="188" spans="1:5" x14ac:dyDescent="0.25">
      <c r="A188" t="s">
        <v>2271</v>
      </c>
      <c r="B188" t="s">
        <v>2272</v>
      </c>
      <c r="C188" t="s">
        <v>2127</v>
      </c>
      <c r="E188" s="6"/>
    </row>
    <row r="189" spans="1:5" x14ac:dyDescent="0.25">
      <c r="A189" t="s">
        <v>1709</v>
      </c>
      <c r="B189" t="s">
        <v>94</v>
      </c>
      <c r="C189" t="s">
        <v>2010</v>
      </c>
      <c r="D189" s="6">
        <v>94177</v>
      </c>
      <c r="E189" s="6">
        <v>138997</v>
      </c>
    </row>
    <row r="190" spans="1:5" x14ac:dyDescent="0.25">
      <c r="A190" t="s">
        <v>2273</v>
      </c>
      <c r="B190" t="s">
        <v>2274</v>
      </c>
      <c r="C190" t="s">
        <v>2002</v>
      </c>
      <c r="E190" s="6"/>
    </row>
    <row r="191" spans="1:5" x14ac:dyDescent="0.25">
      <c r="A191" t="s">
        <v>2275</v>
      </c>
      <c r="B191" t="s">
        <v>2276</v>
      </c>
      <c r="C191" t="s">
        <v>2127</v>
      </c>
      <c r="D191" s="6">
        <v>94350</v>
      </c>
      <c r="E191" s="6">
        <v>141547</v>
      </c>
    </row>
    <row r="192" spans="1:5" x14ac:dyDescent="0.25">
      <c r="A192" t="s">
        <v>2277</v>
      </c>
      <c r="B192" t="s">
        <v>2278</v>
      </c>
      <c r="C192" t="s">
        <v>2002</v>
      </c>
      <c r="D192" s="6">
        <v>94124</v>
      </c>
      <c r="E192" s="6">
        <v>141388</v>
      </c>
    </row>
    <row r="193" spans="1:5" x14ac:dyDescent="0.25">
      <c r="A193" t="s">
        <v>2279</v>
      </c>
      <c r="B193" t="s">
        <v>2280</v>
      </c>
      <c r="C193" t="s">
        <v>2029</v>
      </c>
      <c r="D193" s="6">
        <v>93969</v>
      </c>
      <c r="E193" s="6" t="s">
        <v>2281</v>
      </c>
    </row>
    <row r="194" spans="1:5" x14ac:dyDescent="0.25">
      <c r="A194" t="s">
        <v>2282</v>
      </c>
      <c r="B194" t="s">
        <v>2283</v>
      </c>
      <c r="C194" t="s">
        <v>2002</v>
      </c>
      <c r="D194" s="6">
        <v>92654</v>
      </c>
      <c r="E194" s="6">
        <v>139470</v>
      </c>
    </row>
    <row r="195" spans="1:5" x14ac:dyDescent="0.25">
      <c r="A195" t="s">
        <v>2284</v>
      </c>
      <c r="B195" t="s">
        <v>1763</v>
      </c>
      <c r="C195" t="s">
        <v>2035</v>
      </c>
      <c r="D195" s="6">
        <v>94453</v>
      </c>
      <c r="E195" s="6">
        <v>138656</v>
      </c>
    </row>
    <row r="196" spans="1:5" x14ac:dyDescent="0.25">
      <c r="A196" t="s">
        <v>2285</v>
      </c>
      <c r="B196" t="s">
        <v>2140</v>
      </c>
      <c r="C196" t="s">
        <v>2002</v>
      </c>
      <c r="D196" s="6">
        <v>91997</v>
      </c>
      <c r="E196" s="6">
        <v>139182</v>
      </c>
    </row>
    <row r="197" spans="1:5" x14ac:dyDescent="0.25">
      <c r="A197" t="s">
        <v>2286</v>
      </c>
      <c r="B197" t="s">
        <v>2287</v>
      </c>
      <c r="C197" t="s">
        <v>2002</v>
      </c>
      <c r="D197" s="6">
        <v>86152</v>
      </c>
      <c r="E197" s="6">
        <v>131978</v>
      </c>
    </row>
    <row r="198" spans="1:5" x14ac:dyDescent="0.25">
      <c r="A198" t="s">
        <v>99</v>
      </c>
      <c r="B198" t="s">
        <v>2288</v>
      </c>
      <c r="C198" t="s">
        <v>2244</v>
      </c>
      <c r="D198" s="6">
        <v>87016</v>
      </c>
      <c r="E198" s="6">
        <v>130436</v>
      </c>
    </row>
    <row r="199" spans="1:5" x14ac:dyDescent="0.25">
      <c r="A199" t="s">
        <v>2289</v>
      </c>
      <c r="B199" t="s">
        <v>2290</v>
      </c>
      <c r="C199" t="s">
        <v>2244</v>
      </c>
      <c r="D199" s="6">
        <v>87019</v>
      </c>
      <c r="E199" s="6">
        <v>133271</v>
      </c>
    </row>
    <row r="200" spans="1:5" x14ac:dyDescent="0.25">
      <c r="A200" t="s">
        <v>86</v>
      </c>
      <c r="B200" t="s">
        <v>2291</v>
      </c>
      <c r="C200" t="s">
        <v>2002</v>
      </c>
      <c r="D200" s="6">
        <v>86983</v>
      </c>
      <c r="E200" s="6">
        <v>133506</v>
      </c>
    </row>
    <row r="201" spans="1:5" x14ac:dyDescent="0.25">
      <c r="A201" t="s">
        <v>2292</v>
      </c>
      <c r="B201" t="s">
        <v>2293</v>
      </c>
      <c r="C201" t="s">
        <v>2002</v>
      </c>
      <c r="D201" s="6">
        <v>87043</v>
      </c>
      <c r="E201" s="6">
        <v>133573</v>
      </c>
    </row>
    <row r="202" spans="1:5" x14ac:dyDescent="0.25">
      <c r="A202" t="s">
        <v>474</v>
      </c>
      <c r="B202" t="s">
        <v>2294</v>
      </c>
      <c r="C202" t="s">
        <v>2244</v>
      </c>
      <c r="D202" s="6">
        <v>86946</v>
      </c>
      <c r="E202" s="6">
        <v>133383</v>
      </c>
    </row>
    <row r="203" spans="1:5" x14ac:dyDescent="0.25">
      <c r="A203" t="s">
        <v>2295</v>
      </c>
      <c r="B203" t="s">
        <v>2296</v>
      </c>
      <c r="C203" t="s">
        <v>2002</v>
      </c>
      <c r="D203" s="6">
        <v>87036</v>
      </c>
      <c r="E203" s="6">
        <v>133567</v>
      </c>
    </row>
    <row r="204" spans="1:5" x14ac:dyDescent="0.25">
      <c r="A204" t="s">
        <v>2297</v>
      </c>
      <c r="B204" t="s">
        <v>2298</v>
      </c>
      <c r="C204" t="s">
        <v>2010</v>
      </c>
      <c r="D204" s="6">
        <v>87001</v>
      </c>
      <c r="E204" s="6">
        <v>131441</v>
      </c>
    </row>
    <row r="205" spans="1:5" x14ac:dyDescent="0.25">
      <c r="A205" t="s">
        <v>2299</v>
      </c>
      <c r="B205" t="s">
        <v>2300</v>
      </c>
      <c r="C205" t="s">
        <v>2002</v>
      </c>
      <c r="D205" s="6">
        <v>87190</v>
      </c>
      <c r="E205" s="6">
        <v>133662</v>
      </c>
    </row>
    <row r="206" spans="1:5" x14ac:dyDescent="0.25">
      <c r="A206" t="s">
        <v>97</v>
      </c>
      <c r="B206" t="s">
        <v>2301</v>
      </c>
      <c r="C206" t="s">
        <v>2002</v>
      </c>
      <c r="D206" s="6">
        <v>87060</v>
      </c>
      <c r="E206" s="6">
        <v>133583</v>
      </c>
    </row>
    <row r="207" spans="1:5" x14ac:dyDescent="0.25">
      <c r="A207" t="s">
        <v>2302</v>
      </c>
      <c r="B207" t="s">
        <v>2303</v>
      </c>
      <c r="C207" t="s">
        <v>2002</v>
      </c>
      <c r="D207" s="6">
        <v>87037</v>
      </c>
      <c r="E207" s="6">
        <v>133568</v>
      </c>
    </row>
    <row r="208" spans="1:5" x14ac:dyDescent="0.25">
      <c r="A208" t="s">
        <v>2304</v>
      </c>
      <c r="B208" t="s">
        <v>423</v>
      </c>
      <c r="C208" t="s">
        <v>2002</v>
      </c>
      <c r="D208" s="6">
        <v>87297</v>
      </c>
      <c r="E208" s="6">
        <v>133700</v>
      </c>
    </row>
    <row r="209" spans="1:5" x14ac:dyDescent="0.25">
      <c r="A209" t="s">
        <v>93</v>
      </c>
      <c r="B209" t="s">
        <v>631</v>
      </c>
      <c r="C209" t="s">
        <v>2002</v>
      </c>
      <c r="D209" s="6">
        <v>87286</v>
      </c>
      <c r="E209" s="6">
        <v>133690</v>
      </c>
    </row>
    <row r="210" spans="1:5" x14ac:dyDescent="0.25">
      <c r="A210" t="s">
        <v>2305</v>
      </c>
      <c r="B210" t="s">
        <v>2306</v>
      </c>
      <c r="C210" t="s">
        <v>2002</v>
      </c>
      <c r="D210" s="6">
        <v>87395</v>
      </c>
      <c r="E210" s="6">
        <v>133575</v>
      </c>
    </row>
    <row r="211" spans="1:5" x14ac:dyDescent="0.25">
      <c r="A211" t="s">
        <v>2307</v>
      </c>
      <c r="B211" t="s">
        <v>2308</v>
      </c>
      <c r="C211" t="s">
        <v>2002</v>
      </c>
      <c r="D211" s="6">
        <v>87340</v>
      </c>
      <c r="E211" s="6">
        <v>133710</v>
      </c>
    </row>
    <row r="212" spans="1:5" x14ac:dyDescent="0.25">
      <c r="A212" t="s">
        <v>2309</v>
      </c>
      <c r="B212" t="s">
        <v>2310</v>
      </c>
      <c r="C212" t="s">
        <v>2002</v>
      </c>
      <c r="D212" s="6">
        <v>87386</v>
      </c>
      <c r="E212" s="6">
        <v>133746</v>
      </c>
    </row>
    <row r="213" spans="1:5" x14ac:dyDescent="0.25">
      <c r="A213" t="s">
        <v>2311</v>
      </c>
      <c r="B213" t="s">
        <v>2312</v>
      </c>
      <c r="C213" t="s">
        <v>2002</v>
      </c>
      <c r="D213" s="6">
        <v>87459</v>
      </c>
      <c r="E213" s="6">
        <v>133942</v>
      </c>
    </row>
    <row r="214" spans="1:5" x14ac:dyDescent="0.25">
      <c r="A214" t="s">
        <v>1751</v>
      </c>
      <c r="B214" t="s">
        <v>2313</v>
      </c>
      <c r="C214" t="s">
        <v>2002</v>
      </c>
      <c r="D214" s="6">
        <v>87524</v>
      </c>
      <c r="E214" s="6">
        <v>133971</v>
      </c>
    </row>
    <row r="215" spans="1:5" x14ac:dyDescent="0.25">
      <c r="A215" t="s">
        <v>110</v>
      </c>
      <c r="B215" t="s">
        <v>111</v>
      </c>
      <c r="C215" t="s">
        <v>2010</v>
      </c>
      <c r="D215" s="6">
        <v>87398</v>
      </c>
      <c r="E215" s="6" t="s">
        <v>2314</v>
      </c>
    </row>
    <row r="216" spans="1:5" x14ac:dyDescent="0.25">
      <c r="A216" t="s">
        <v>2315</v>
      </c>
      <c r="B216" t="s">
        <v>2316</v>
      </c>
      <c r="C216" t="s">
        <v>2010</v>
      </c>
      <c r="D216" s="6">
        <v>87585</v>
      </c>
      <c r="E216" s="6">
        <v>131396</v>
      </c>
    </row>
    <row r="217" spans="1:5" x14ac:dyDescent="0.25">
      <c r="A217" t="s">
        <v>2317</v>
      </c>
      <c r="B217" t="s">
        <v>2318</v>
      </c>
      <c r="C217" t="s">
        <v>2002</v>
      </c>
      <c r="D217" s="6">
        <v>87748</v>
      </c>
      <c r="E217" s="6">
        <v>134051</v>
      </c>
    </row>
    <row r="218" spans="1:5" x14ac:dyDescent="0.25">
      <c r="A218" t="s">
        <v>2319</v>
      </c>
      <c r="B218" t="s">
        <v>2320</v>
      </c>
      <c r="C218" t="s">
        <v>2002</v>
      </c>
      <c r="D218" s="6">
        <v>82902</v>
      </c>
      <c r="E218" s="6">
        <v>128159</v>
      </c>
    </row>
    <row r="219" spans="1:5" x14ac:dyDescent="0.25">
      <c r="A219" t="s">
        <v>2321</v>
      </c>
      <c r="B219" t="s">
        <v>2288</v>
      </c>
      <c r="C219" t="s">
        <v>2002</v>
      </c>
      <c r="D219" s="6">
        <v>87897</v>
      </c>
      <c r="E219" s="6">
        <v>134138</v>
      </c>
    </row>
    <row r="220" spans="1:5" x14ac:dyDescent="0.25">
      <c r="A220" t="s">
        <v>1921</v>
      </c>
      <c r="B220" t="s">
        <v>1722</v>
      </c>
      <c r="C220" t="s">
        <v>2010</v>
      </c>
      <c r="D220" s="6">
        <v>87850</v>
      </c>
      <c r="E220" s="6" t="s">
        <v>2322</v>
      </c>
    </row>
    <row r="221" spans="1:5" x14ac:dyDescent="0.25">
      <c r="A221" t="s">
        <v>108</v>
      </c>
      <c r="B221" t="s">
        <v>2323</v>
      </c>
      <c r="C221" t="s">
        <v>2002</v>
      </c>
      <c r="D221" s="6">
        <v>87890</v>
      </c>
      <c r="E221" s="6">
        <v>134136</v>
      </c>
    </row>
    <row r="222" spans="1:5" x14ac:dyDescent="0.25">
      <c r="A222" t="s">
        <v>112</v>
      </c>
      <c r="B222" t="s">
        <v>113</v>
      </c>
      <c r="C222" t="s">
        <v>2010</v>
      </c>
      <c r="D222" s="6">
        <v>87623</v>
      </c>
      <c r="E222" s="6">
        <v>131064</v>
      </c>
    </row>
    <row r="223" spans="1:5" x14ac:dyDescent="0.25">
      <c r="A223" t="s">
        <v>2324</v>
      </c>
      <c r="B223" t="s">
        <v>2325</v>
      </c>
      <c r="C223" t="s">
        <v>2002</v>
      </c>
      <c r="D223" s="6">
        <v>87998</v>
      </c>
      <c r="E223" s="6">
        <v>135301</v>
      </c>
    </row>
    <row r="224" spans="1:5" x14ac:dyDescent="0.25">
      <c r="A224" t="s">
        <v>2326</v>
      </c>
      <c r="B224" t="s">
        <v>2078</v>
      </c>
      <c r="C224" t="s">
        <v>2002</v>
      </c>
      <c r="D224" s="6">
        <v>88001</v>
      </c>
      <c r="E224" s="6">
        <v>135307</v>
      </c>
    </row>
    <row r="225" spans="1:5" x14ac:dyDescent="0.25">
      <c r="A225" t="s">
        <v>2327</v>
      </c>
      <c r="B225" t="s">
        <v>2328</v>
      </c>
      <c r="C225" t="s">
        <v>2002</v>
      </c>
      <c r="D225" s="6">
        <v>88004</v>
      </c>
      <c r="E225" s="6">
        <v>135304</v>
      </c>
    </row>
    <row r="226" spans="1:5" x14ac:dyDescent="0.25">
      <c r="A226" t="s">
        <v>2329</v>
      </c>
      <c r="B226" t="s">
        <v>2330</v>
      </c>
      <c r="C226" t="s">
        <v>2002</v>
      </c>
      <c r="D226" s="6">
        <v>88108</v>
      </c>
      <c r="E226" s="6">
        <v>135371</v>
      </c>
    </row>
    <row r="227" spans="1:5" x14ac:dyDescent="0.25">
      <c r="A227" t="s">
        <v>2331</v>
      </c>
      <c r="B227" t="s">
        <v>2332</v>
      </c>
      <c r="C227" t="s">
        <v>2002</v>
      </c>
      <c r="D227" s="6">
        <v>88171</v>
      </c>
      <c r="E227" s="6">
        <v>135414</v>
      </c>
    </row>
    <row r="228" spans="1:5" x14ac:dyDescent="0.25">
      <c r="A228" t="s">
        <v>2333</v>
      </c>
      <c r="B228" t="s">
        <v>1723</v>
      </c>
      <c r="C228" t="s">
        <v>2029</v>
      </c>
      <c r="D228" s="6">
        <v>87777</v>
      </c>
      <c r="E228" s="6">
        <v>130024</v>
      </c>
    </row>
    <row r="229" spans="1:5" x14ac:dyDescent="0.25">
      <c r="A229" t="s">
        <v>2334</v>
      </c>
      <c r="B229" t="s">
        <v>2335</v>
      </c>
      <c r="C229" t="s">
        <v>2002</v>
      </c>
      <c r="D229" s="6">
        <v>87470</v>
      </c>
      <c r="E229" s="6">
        <v>133948</v>
      </c>
    </row>
    <row r="230" spans="1:5" x14ac:dyDescent="0.25">
      <c r="A230" t="s">
        <v>2336</v>
      </c>
      <c r="B230" t="s">
        <v>2337</v>
      </c>
      <c r="C230" t="s">
        <v>2002</v>
      </c>
      <c r="D230" s="6">
        <v>87691</v>
      </c>
      <c r="E230" s="6">
        <v>134037</v>
      </c>
    </row>
    <row r="231" spans="1:5" x14ac:dyDescent="0.25">
      <c r="A231" t="s">
        <v>2338</v>
      </c>
      <c r="B231" t="s">
        <v>632</v>
      </c>
      <c r="C231" t="s">
        <v>2002</v>
      </c>
      <c r="D231" s="6">
        <v>87938</v>
      </c>
      <c r="E231" s="6">
        <v>135267</v>
      </c>
    </row>
    <row r="232" spans="1:5" x14ac:dyDescent="0.25">
      <c r="A232" t="s">
        <v>2339</v>
      </c>
      <c r="B232" t="s">
        <v>2340</v>
      </c>
      <c r="C232" t="s">
        <v>2002</v>
      </c>
      <c r="D232" s="6">
        <v>88183</v>
      </c>
      <c r="E232" s="6">
        <v>135417</v>
      </c>
    </row>
    <row r="233" spans="1:5" x14ac:dyDescent="0.25">
      <c r="A233" t="s">
        <v>1744</v>
      </c>
      <c r="B233" t="s">
        <v>2066</v>
      </c>
      <c r="C233" t="s">
        <v>2029</v>
      </c>
      <c r="E233" s="6"/>
    </row>
    <row r="234" spans="1:5" x14ac:dyDescent="0.25">
      <c r="A234" t="s">
        <v>95</v>
      </c>
      <c r="B234" t="s">
        <v>2341</v>
      </c>
      <c r="C234" t="s">
        <v>2002</v>
      </c>
      <c r="D234" s="6">
        <v>88212</v>
      </c>
      <c r="E234" s="6">
        <v>135441</v>
      </c>
    </row>
    <row r="235" spans="1:5" x14ac:dyDescent="0.25">
      <c r="A235" t="s">
        <v>2342</v>
      </c>
      <c r="B235" t="s">
        <v>1719</v>
      </c>
      <c r="C235" t="s">
        <v>2002</v>
      </c>
      <c r="D235" s="6">
        <v>88234</v>
      </c>
      <c r="E235" s="6">
        <v>135459</v>
      </c>
    </row>
    <row r="236" spans="1:5" x14ac:dyDescent="0.25">
      <c r="A236" t="s">
        <v>2343</v>
      </c>
      <c r="B236" t="s">
        <v>1718</v>
      </c>
      <c r="C236" t="s">
        <v>2002</v>
      </c>
      <c r="D236" s="6">
        <v>88287</v>
      </c>
      <c r="E236" s="6">
        <v>135491</v>
      </c>
    </row>
    <row r="237" spans="1:5" x14ac:dyDescent="0.25">
      <c r="A237" t="s">
        <v>2344</v>
      </c>
      <c r="B237" t="s">
        <v>2345</v>
      </c>
      <c r="C237" t="s">
        <v>2002</v>
      </c>
      <c r="D237" s="6">
        <v>88248</v>
      </c>
      <c r="E237" s="6">
        <v>135467</v>
      </c>
    </row>
    <row r="238" spans="1:5" x14ac:dyDescent="0.25">
      <c r="A238" t="s">
        <v>106</v>
      </c>
      <c r="B238" t="s">
        <v>2346</v>
      </c>
      <c r="C238" t="s">
        <v>2002</v>
      </c>
      <c r="D238" s="6">
        <v>88107</v>
      </c>
      <c r="E238" s="6">
        <v>135370</v>
      </c>
    </row>
    <row r="239" spans="1:5" x14ac:dyDescent="0.25">
      <c r="A239" t="s">
        <v>2347</v>
      </c>
      <c r="B239" t="s">
        <v>2348</v>
      </c>
      <c r="C239" t="s">
        <v>2002</v>
      </c>
      <c r="E239" s="6"/>
    </row>
    <row r="240" spans="1:5" x14ac:dyDescent="0.25">
      <c r="A240" t="s">
        <v>2349</v>
      </c>
      <c r="B240" t="s">
        <v>1720</v>
      </c>
      <c r="C240" t="s">
        <v>2002</v>
      </c>
      <c r="E240" s="6"/>
    </row>
    <row r="241" spans="1:5" x14ac:dyDescent="0.25">
      <c r="A241" t="s">
        <v>52</v>
      </c>
      <c r="B241" t="s">
        <v>2350</v>
      </c>
      <c r="C241" t="s">
        <v>2002</v>
      </c>
      <c r="D241" s="6">
        <v>88295</v>
      </c>
      <c r="E241" s="6">
        <v>135498</v>
      </c>
    </row>
    <row r="242" spans="1:5" x14ac:dyDescent="0.25">
      <c r="A242" t="s">
        <v>2351</v>
      </c>
      <c r="B242" t="s">
        <v>2352</v>
      </c>
      <c r="C242" t="s">
        <v>2002</v>
      </c>
      <c r="E242" s="6"/>
    </row>
    <row r="243" spans="1:5" x14ac:dyDescent="0.25">
      <c r="A243" t="s">
        <v>2353</v>
      </c>
      <c r="B243" t="s">
        <v>2354</v>
      </c>
      <c r="C243" t="s">
        <v>2002</v>
      </c>
      <c r="D243" s="6">
        <v>88112</v>
      </c>
      <c r="E243" s="6">
        <v>135374</v>
      </c>
    </row>
    <row r="244" spans="1:5" x14ac:dyDescent="0.25">
      <c r="A244" t="s">
        <v>2355</v>
      </c>
      <c r="B244" t="s">
        <v>1723</v>
      </c>
      <c r="C244" t="s">
        <v>2029</v>
      </c>
      <c r="D244" s="6">
        <v>87328</v>
      </c>
      <c r="E244" s="6">
        <v>130026</v>
      </c>
    </row>
    <row r="245" spans="1:5" x14ac:dyDescent="0.25">
      <c r="A245" t="s">
        <v>2356</v>
      </c>
      <c r="B245" t="s">
        <v>2328</v>
      </c>
      <c r="C245" t="s">
        <v>2002</v>
      </c>
      <c r="D245" s="6">
        <v>88464</v>
      </c>
      <c r="E245" s="6">
        <v>135562</v>
      </c>
    </row>
    <row r="246" spans="1:5" x14ac:dyDescent="0.25">
      <c r="A246" t="s">
        <v>2357</v>
      </c>
      <c r="B246" t="s">
        <v>2358</v>
      </c>
      <c r="C246" t="s">
        <v>2002</v>
      </c>
      <c r="D246" s="6">
        <v>88347</v>
      </c>
      <c r="E246" s="6">
        <v>135526</v>
      </c>
    </row>
    <row r="247" spans="1:5" x14ac:dyDescent="0.25">
      <c r="A247" t="s">
        <v>2359</v>
      </c>
      <c r="B247" t="s">
        <v>2360</v>
      </c>
      <c r="C247" t="s">
        <v>2002</v>
      </c>
      <c r="E247" s="6"/>
    </row>
    <row r="248" spans="1:5" x14ac:dyDescent="0.25">
      <c r="A248" t="s">
        <v>217</v>
      </c>
      <c r="B248" t="s">
        <v>2361</v>
      </c>
      <c r="C248" t="s">
        <v>2002</v>
      </c>
      <c r="D248" s="6">
        <v>88307</v>
      </c>
      <c r="E248" s="6">
        <v>135515</v>
      </c>
    </row>
    <row r="249" spans="1:5" x14ac:dyDescent="0.25">
      <c r="A249" t="s">
        <v>2362</v>
      </c>
      <c r="B249" t="s">
        <v>2363</v>
      </c>
      <c r="C249" t="s">
        <v>2002</v>
      </c>
      <c r="D249" s="6">
        <v>88398</v>
      </c>
      <c r="E249" s="6">
        <v>135554</v>
      </c>
    </row>
    <row r="250" spans="1:5" x14ac:dyDescent="0.25">
      <c r="A250" t="s">
        <v>2364</v>
      </c>
      <c r="B250" t="s">
        <v>2365</v>
      </c>
      <c r="C250" t="s">
        <v>2002</v>
      </c>
      <c r="D250" s="6">
        <v>88621</v>
      </c>
      <c r="E250" s="6">
        <v>135645</v>
      </c>
    </row>
    <row r="251" spans="1:5" x14ac:dyDescent="0.25">
      <c r="A251" t="s">
        <v>1712</v>
      </c>
      <c r="B251" t="s">
        <v>2366</v>
      </c>
      <c r="C251" t="s">
        <v>2029</v>
      </c>
      <c r="E251" s="6"/>
    </row>
    <row r="252" spans="1:5" x14ac:dyDescent="0.25">
      <c r="A252" t="s">
        <v>2367</v>
      </c>
      <c r="B252" t="s">
        <v>2368</v>
      </c>
      <c r="C252" t="s">
        <v>2002</v>
      </c>
      <c r="D252" s="6">
        <v>88731</v>
      </c>
      <c r="E252" s="6">
        <v>135678</v>
      </c>
    </row>
    <row r="253" spans="1:5" x14ac:dyDescent="0.25">
      <c r="A253" t="s">
        <v>2369</v>
      </c>
      <c r="B253" t="s">
        <v>2370</v>
      </c>
      <c r="C253" t="s">
        <v>2002</v>
      </c>
      <c r="E253" s="6"/>
    </row>
    <row r="254" spans="1:5" x14ac:dyDescent="0.25">
      <c r="A254" t="s">
        <v>201</v>
      </c>
      <c r="B254" t="s">
        <v>2363</v>
      </c>
      <c r="C254" t="s">
        <v>2010</v>
      </c>
      <c r="D254" s="6">
        <v>88631</v>
      </c>
      <c r="E254" s="6">
        <v>133632</v>
      </c>
    </row>
    <row r="255" spans="1:5" x14ac:dyDescent="0.25">
      <c r="A255" t="s">
        <v>78</v>
      </c>
      <c r="B255" t="s">
        <v>2371</v>
      </c>
      <c r="C255" t="s">
        <v>2002</v>
      </c>
      <c r="D255" s="6">
        <v>88763</v>
      </c>
      <c r="E255" s="6">
        <v>135845</v>
      </c>
    </row>
    <row r="256" spans="1:5" x14ac:dyDescent="0.25">
      <c r="A256" t="s">
        <v>2372</v>
      </c>
      <c r="B256" t="s">
        <v>1723</v>
      </c>
      <c r="C256" t="s">
        <v>2373</v>
      </c>
      <c r="D256" s="6">
        <v>87777</v>
      </c>
      <c r="E256" s="6">
        <v>130024</v>
      </c>
    </row>
    <row r="257" spans="1:5" x14ac:dyDescent="0.25">
      <c r="A257" t="s">
        <v>2374</v>
      </c>
      <c r="B257" t="s">
        <v>1723</v>
      </c>
      <c r="C257" t="s">
        <v>2373</v>
      </c>
      <c r="D257" s="6">
        <v>87328</v>
      </c>
      <c r="E257" s="6">
        <v>130026</v>
      </c>
    </row>
    <row r="258" spans="1:5" x14ac:dyDescent="0.25">
      <c r="A258" t="s">
        <v>2375</v>
      </c>
      <c r="B258" t="s">
        <v>2376</v>
      </c>
      <c r="C258" t="s">
        <v>2002</v>
      </c>
      <c r="D258" s="6">
        <v>88617</v>
      </c>
      <c r="E258" s="6">
        <v>135641</v>
      </c>
    </row>
    <row r="259" spans="1:5" x14ac:dyDescent="0.25">
      <c r="A259" t="s">
        <v>2377</v>
      </c>
      <c r="B259" t="s">
        <v>2378</v>
      </c>
      <c r="C259" t="s">
        <v>2002</v>
      </c>
      <c r="D259" s="6">
        <v>88205</v>
      </c>
      <c r="E259" s="6">
        <v>135438</v>
      </c>
    </row>
    <row r="260" spans="1:5" x14ac:dyDescent="0.25">
      <c r="A260" t="s">
        <v>2379</v>
      </c>
      <c r="B260" t="s">
        <v>2380</v>
      </c>
      <c r="C260" t="s">
        <v>2002</v>
      </c>
      <c r="D260" s="6">
        <v>88729</v>
      </c>
      <c r="E260" s="6">
        <v>135676</v>
      </c>
    </row>
    <row r="261" spans="1:5" x14ac:dyDescent="0.25">
      <c r="A261" t="s">
        <v>92</v>
      </c>
      <c r="B261" t="s">
        <v>2371</v>
      </c>
      <c r="C261" t="s">
        <v>2002</v>
      </c>
      <c r="D261" s="6">
        <v>88845</v>
      </c>
      <c r="E261" s="6">
        <v>135869</v>
      </c>
    </row>
    <row r="262" spans="1:5" x14ac:dyDescent="0.25">
      <c r="A262" t="s">
        <v>2381</v>
      </c>
      <c r="B262" t="s">
        <v>2382</v>
      </c>
      <c r="C262" t="s">
        <v>2029</v>
      </c>
      <c r="D262" s="6">
        <v>88679</v>
      </c>
      <c r="E262" s="6">
        <v>132168</v>
      </c>
    </row>
    <row r="263" spans="1:5" x14ac:dyDescent="0.25">
      <c r="A263" t="s">
        <v>2383</v>
      </c>
      <c r="B263" t="s">
        <v>2384</v>
      </c>
      <c r="C263" t="s">
        <v>2002</v>
      </c>
      <c r="D263" s="6">
        <v>88871</v>
      </c>
      <c r="E263" s="6">
        <v>135879</v>
      </c>
    </row>
    <row r="264" spans="1:5" x14ac:dyDescent="0.25">
      <c r="A264" t="s">
        <v>2385</v>
      </c>
      <c r="B264" t="s">
        <v>1725</v>
      </c>
      <c r="C264" t="s">
        <v>2002</v>
      </c>
      <c r="E264" s="6"/>
    </row>
    <row r="265" spans="1:5" x14ac:dyDescent="0.25">
      <c r="A265" t="s">
        <v>2386</v>
      </c>
      <c r="B265" t="s">
        <v>2387</v>
      </c>
      <c r="C265" t="s">
        <v>2002</v>
      </c>
      <c r="D265" s="6">
        <v>88602</v>
      </c>
      <c r="E265" s="6">
        <v>135632</v>
      </c>
    </row>
    <row r="266" spans="1:5" x14ac:dyDescent="0.25">
      <c r="A266" t="s">
        <v>1747</v>
      </c>
      <c r="B266" t="s">
        <v>2388</v>
      </c>
      <c r="C266" t="s">
        <v>2029</v>
      </c>
      <c r="D266" s="6">
        <v>88759</v>
      </c>
      <c r="E266" s="6" t="s">
        <v>2389</v>
      </c>
    </row>
    <row r="267" spans="1:5" x14ac:dyDescent="0.25">
      <c r="A267" t="s">
        <v>1773</v>
      </c>
      <c r="B267" t="s">
        <v>2390</v>
      </c>
      <c r="C267" t="s">
        <v>2029</v>
      </c>
      <c r="D267" s="6">
        <v>88787</v>
      </c>
      <c r="E267" s="6" t="s">
        <v>2391</v>
      </c>
    </row>
    <row r="268" spans="1:5" x14ac:dyDescent="0.25">
      <c r="A268" t="s">
        <v>432</v>
      </c>
      <c r="B268" t="s">
        <v>2392</v>
      </c>
      <c r="C268" t="s">
        <v>2002</v>
      </c>
      <c r="D268" s="6">
        <v>88935</v>
      </c>
      <c r="E268" s="6">
        <v>135918</v>
      </c>
    </row>
    <row r="269" spans="1:5" x14ac:dyDescent="0.25">
      <c r="A269" t="s">
        <v>442</v>
      </c>
      <c r="B269" t="s">
        <v>2393</v>
      </c>
      <c r="C269" t="s">
        <v>2002</v>
      </c>
      <c r="D269" s="6">
        <v>88744</v>
      </c>
      <c r="E269" s="6">
        <v>135691</v>
      </c>
    </row>
    <row r="270" spans="1:5" x14ac:dyDescent="0.25">
      <c r="A270" t="s">
        <v>306</v>
      </c>
      <c r="B270" t="s">
        <v>2394</v>
      </c>
      <c r="C270" t="s">
        <v>2002</v>
      </c>
      <c r="D270" s="6">
        <v>88746</v>
      </c>
      <c r="E270" s="6">
        <v>135693</v>
      </c>
    </row>
    <row r="271" spans="1:5" x14ac:dyDescent="0.25">
      <c r="A271" t="s">
        <v>276</v>
      </c>
      <c r="B271" t="s">
        <v>2392</v>
      </c>
      <c r="C271" t="s">
        <v>2002</v>
      </c>
      <c r="D271" s="6">
        <v>88936</v>
      </c>
      <c r="E271" s="6">
        <v>135919</v>
      </c>
    </row>
    <row r="272" spans="1:5" x14ac:dyDescent="0.25">
      <c r="A272" t="s">
        <v>2395</v>
      </c>
      <c r="B272" t="s">
        <v>2396</v>
      </c>
      <c r="C272" t="s">
        <v>2002</v>
      </c>
      <c r="D272" s="6">
        <v>88616</v>
      </c>
      <c r="E272" s="6">
        <v>135640</v>
      </c>
    </row>
    <row r="273" spans="1:5" x14ac:dyDescent="0.25">
      <c r="A273" t="s">
        <v>1758</v>
      </c>
      <c r="B273" t="s">
        <v>2397</v>
      </c>
      <c r="C273" t="s">
        <v>2002</v>
      </c>
      <c r="D273" s="6">
        <v>88352</v>
      </c>
      <c r="E273" s="6">
        <v>135531</v>
      </c>
    </row>
    <row r="274" spans="1:5" x14ac:dyDescent="0.25">
      <c r="A274" t="s">
        <v>1630</v>
      </c>
      <c r="B274" t="s">
        <v>2398</v>
      </c>
      <c r="C274" t="s">
        <v>2029</v>
      </c>
      <c r="D274" s="6">
        <v>88870</v>
      </c>
      <c r="E274" s="6" t="s">
        <v>2399</v>
      </c>
    </row>
    <row r="275" spans="1:5" x14ac:dyDescent="0.25">
      <c r="A275" t="s">
        <v>1753</v>
      </c>
      <c r="B275" t="s">
        <v>2400</v>
      </c>
      <c r="C275" t="s">
        <v>2002</v>
      </c>
      <c r="D275" s="6">
        <v>89110</v>
      </c>
      <c r="E275" s="6">
        <v>136064</v>
      </c>
    </row>
    <row r="276" spans="1:5" x14ac:dyDescent="0.25">
      <c r="A276" t="s">
        <v>2401</v>
      </c>
      <c r="B276" t="s">
        <v>2402</v>
      </c>
      <c r="C276" t="s">
        <v>2002</v>
      </c>
      <c r="E276" s="6"/>
    </row>
    <row r="277" spans="1:5" x14ac:dyDescent="0.25">
      <c r="A277" t="s">
        <v>2403</v>
      </c>
      <c r="B277" t="s">
        <v>2404</v>
      </c>
      <c r="C277" t="s">
        <v>2002</v>
      </c>
      <c r="D277" s="6">
        <v>88907</v>
      </c>
      <c r="E277" s="6">
        <v>135899</v>
      </c>
    </row>
    <row r="278" spans="1:5" x14ac:dyDescent="0.25">
      <c r="A278" t="s">
        <v>2405</v>
      </c>
      <c r="B278" t="s">
        <v>2406</v>
      </c>
      <c r="C278" t="s">
        <v>2002</v>
      </c>
      <c r="E278" s="6"/>
    </row>
    <row r="279" spans="1:5" x14ac:dyDescent="0.25">
      <c r="A279" t="s">
        <v>2407</v>
      </c>
      <c r="B279" t="s">
        <v>2408</v>
      </c>
      <c r="C279" t="s">
        <v>2002</v>
      </c>
      <c r="E279" s="6"/>
    </row>
    <row r="280" spans="1:5" x14ac:dyDescent="0.25">
      <c r="A280" t="s">
        <v>2409</v>
      </c>
      <c r="B280" t="s">
        <v>2410</v>
      </c>
      <c r="C280" t="s">
        <v>2002</v>
      </c>
      <c r="D280" s="6">
        <v>89302</v>
      </c>
      <c r="E280" s="6">
        <v>137053</v>
      </c>
    </row>
    <row r="281" spans="1:5" x14ac:dyDescent="0.25">
      <c r="A281" t="s">
        <v>2411</v>
      </c>
      <c r="B281" t="s">
        <v>2412</v>
      </c>
      <c r="C281" t="s">
        <v>2002</v>
      </c>
      <c r="D281" s="6">
        <v>89249</v>
      </c>
      <c r="E281" s="6">
        <v>136110</v>
      </c>
    </row>
    <row r="282" spans="1:5" x14ac:dyDescent="0.25">
      <c r="A282" t="s">
        <v>2413</v>
      </c>
      <c r="B282" t="s">
        <v>2414</v>
      </c>
      <c r="C282" t="s">
        <v>2002</v>
      </c>
      <c r="E282" s="6"/>
    </row>
    <row r="283" spans="1:5" x14ac:dyDescent="0.25">
      <c r="A283" t="s">
        <v>403</v>
      </c>
      <c r="B283" t="s">
        <v>2415</v>
      </c>
      <c r="C283" t="s">
        <v>2002</v>
      </c>
      <c r="D283" s="6">
        <v>89196</v>
      </c>
      <c r="E283" s="6">
        <v>136078</v>
      </c>
    </row>
    <row r="284" spans="1:5" x14ac:dyDescent="0.25">
      <c r="A284" t="s">
        <v>2416</v>
      </c>
      <c r="B284" t="s">
        <v>2417</v>
      </c>
      <c r="C284" t="s">
        <v>2002</v>
      </c>
      <c r="E284" s="6"/>
    </row>
    <row r="285" spans="1:5" x14ac:dyDescent="0.25">
      <c r="A285" t="s">
        <v>2418</v>
      </c>
      <c r="B285" t="s">
        <v>2419</v>
      </c>
      <c r="C285" t="s">
        <v>2002</v>
      </c>
      <c r="E285" s="6"/>
    </row>
    <row r="286" spans="1:5" x14ac:dyDescent="0.25">
      <c r="A286" t="s">
        <v>2420</v>
      </c>
      <c r="B286" t="s">
        <v>2106</v>
      </c>
      <c r="C286" t="s">
        <v>2002</v>
      </c>
      <c r="E286" s="6"/>
    </row>
    <row r="287" spans="1:5" x14ac:dyDescent="0.25">
      <c r="A287" t="s">
        <v>2421</v>
      </c>
      <c r="B287" t="s">
        <v>2422</v>
      </c>
      <c r="C287" t="s">
        <v>2002</v>
      </c>
      <c r="E287" s="6"/>
    </row>
    <row r="288" spans="1:5" x14ac:dyDescent="0.25">
      <c r="A288" t="s">
        <v>2423</v>
      </c>
      <c r="B288" t="s">
        <v>2424</v>
      </c>
      <c r="C288" t="s">
        <v>2002</v>
      </c>
      <c r="E288" s="6"/>
    </row>
    <row r="289" spans="1:5" x14ac:dyDescent="0.25">
      <c r="A289" t="s">
        <v>2425</v>
      </c>
      <c r="B289" t="s">
        <v>2045</v>
      </c>
      <c r="C289" t="s">
        <v>2029</v>
      </c>
      <c r="D289" s="6">
        <v>89478</v>
      </c>
      <c r="E289" s="6">
        <v>128491</v>
      </c>
    </row>
    <row r="290" spans="1:5" x14ac:dyDescent="0.25">
      <c r="A290" t="s">
        <v>2426</v>
      </c>
      <c r="B290" t="s">
        <v>2427</v>
      </c>
      <c r="C290" t="s">
        <v>2002</v>
      </c>
      <c r="E290" s="6"/>
    </row>
    <row r="291" spans="1:5" x14ac:dyDescent="0.25">
      <c r="A291" t="s">
        <v>2428</v>
      </c>
      <c r="B291" t="s">
        <v>53</v>
      </c>
      <c r="C291" t="s">
        <v>2002</v>
      </c>
      <c r="D291" s="6">
        <v>89597</v>
      </c>
      <c r="E291" s="6">
        <v>137312</v>
      </c>
    </row>
    <row r="292" spans="1:5" x14ac:dyDescent="0.25">
      <c r="A292" t="s">
        <v>2429</v>
      </c>
      <c r="B292" t="s">
        <v>2430</v>
      </c>
      <c r="C292" t="s">
        <v>2002</v>
      </c>
      <c r="E292" s="6"/>
    </row>
    <row r="293" spans="1:5" x14ac:dyDescent="0.25">
      <c r="A293" t="s">
        <v>2431</v>
      </c>
      <c r="B293" t="s">
        <v>2432</v>
      </c>
      <c r="C293" t="s">
        <v>2029</v>
      </c>
      <c r="E293" s="6"/>
    </row>
    <row r="294" spans="1:5" x14ac:dyDescent="0.25">
      <c r="A294" t="s">
        <v>2433</v>
      </c>
      <c r="B294" t="s">
        <v>1726</v>
      </c>
      <c r="C294" t="s">
        <v>2002</v>
      </c>
      <c r="E294" s="6"/>
    </row>
    <row r="295" spans="1:5" x14ac:dyDescent="0.25">
      <c r="A295" t="s">
        <v>2434</v>
      </c>
      <c r="B295" t="s">
        <v>2435</v>
      </c>
      <c r="C295" t="s">
        <v>2002</v>
      </c>
      <c r="D295" s="6">
        <v>89726</v>
      </c>
      <c r="E295" s="6">
        <v>137379</v>
      </c>
    </row>
    <row r="296" spans="1:5" x14ac:dyDescent="0.25">
      <c r="A296" t="s">
        <v>2436</v>
      </c>
      <c r="B296" t="s">
        <v>2437</v>
      </c>
      <c r="C296" t="s">
        <v>2002</v>
      </c>
      <c r="E296" s="6"/>
    </row>
    <row r="297" spans="1:5" x14ac:dyDescent="0.25">
      <c r="A297" t="s">
        <v>2438</v>
      </c>
      <c r="B297" t="s">
        <v>2439</v>
      </c>
      <c r="C297" t="s">
        <v>2002</v>
      </c>
      <c r="E297" s="6"/>
    </row>
    <row r="298" spans="1:5" x14ac:dyDescent="0.25">
      <c r="A298" t="s">
        <v>2440</v>
      </c>
      <c r="B298" t="s">
        <v>2008</v>
      </c>
      <c r="C298" t="s">
        <v>2002</v>
      </c>
      <c r="D298" s="6">
        <v>89542</v>
      </c>
      <c r="E298" s="6">
        <v>137302</v>
      </c>
    </row>
    <row r="299" spans="1:5" x14ac:dyDescent="0.25">
      <c r="A299" t="s">
        <v>476</v>
      </c>
      <c r="B299" t="s">
        <v>477</v>
      </c>
      <c r="C299" t="s">
        <v>2002</v>
      </c>
      <c r="D299" s="6">
        <v>88113</v>
      </c>
      <c r="E299" s="6">
        <v>135375</v>
      </c>
    </row>
    <row r="300" spans="1:5" x14ac:dyDescent="0.25">
      <c r="A300" t="s">
        <v>2441</v>
      </c>
      <c r="B300" t="s">
        <v>1733</v>
      </c>
      <c r="C300" t="s">
        <v>2002</v>
      </c>
      <c r="D300" s="6">
        <v>89448</v>
      </c>
      <c r="E300" s="6">
        <v>137124</v>
      </c>
    </row>
    <row r="301" spans="1:5" x14ac:dyDescent="0.25">
      <c r="A301" t="s">
        <v>2442</v>
      </c>
      <c r="B301" t="s">
        <v>2176</v>
      </c>
      <c r="C301" t="s">
        <v>2010</v>
      </c>
      <c r="D301" s="6">
        <v>88538</v>
      </c>
      <c r="E301" s="6">
        <v>133737</v>
      </c>
    </row>
    <row r="302" spans="1:5" x14ac:dyDescent="0.25">
      <c r="A302" t="s">
        <v>433</v>
      </c>
      <c r="B302" t="s">
        <v>434</v>
      </c>
      <c r="C302" t="s">
        <v>2002</v>
      </c>
      <c r="D302" s="6">
        <v>89710</v>
      </c>
      <c r="E302" s="6">
        <v>137371</v>
      </c>
    </row>
    <row r="303" spans="1:5" x14ac:dyDescent="0.25">
      <c r="A303" t="s">
        <v>2443</v>
      </c>
      <c r="B303" t="s">
        <v>2189</v>
      </c>
      <c r="C303" t="s">
        <v>2002</v>
      </c>
      <c r="D303" s="6">
        <v>89785</v>
      </c>
      <c r="E303" s="6">
        <v>137451</v>
      </c>
    </row>
    <row r="304" spans="1:5" x14ac:dyDescent="0.25">
      <c r="A304" t="s">
        <v>2444</v>
      </c>
      <c r="B304" t="s">
        <v>2445</v>
      </c>
      <c r="C304" t="s">
        <v>2002</v>
      </c>
      <c r="E304" s="6"/>
    </row>
    <row r="305" spans="1:5" x14ac:dyDescent="0.25">
      <c r="A305" t="s">
        <v>2446</v>
      </c>
      <c r="B305" t="s">
        <v>2205</v>
      </c>
      <c r="C305" t="s">
        <v>2002</v>
      </c>
      <c r="E305" s="6"/>
    </row>
    <row r="306" spans="1:5" x14ac:dyDescent="0.25">
      <c r="A306" t="s">
        <v>666</v>
      </c>
      <c r="B306" t="s">
        <v>431</v>
      </c>
      <c r="C306" t="s">
        <v>2002</v>
      </c>
      <c r="D306" s="6">
        <v>89201</v>
      </c>
      <c r="E306" s="6">
        <v>136080</v>
      </c>
    </row>
    <row r="307" spans="1:5" x14ac:dyDescent="0.25">
      <c r="A307" t="s">
        <v>2447</v>
      </c>
      <c r="B307" t="s">
        <v>79</v>
      </c>
      <c r="C307" t="s">
        <v>2002</v>
      </c>
      <c r="D307" s="6">
        <v>89844</v>
      </c>
      <c r="E307" s="6">
        <v>137492</v>
      </c>
    </row>
    <row r="308" spans="1:5" x14ac:dyDescent="0.25">
      <c r="A308" t="s">
        <v>2448</v>
      </c>
      <c r="B308" t="s">
        <v>2449</v>
      </c>
      <c r="C308" t="s">
        <v>2002</v>
      </c>
      <c r="E308" s="6"/>
    </row>
    <row r="309" spans="1:5" x14ac:dyDescent="0.25">
      <c r="A309" t="s">
        <v>2450</v>
      </c>
      <c r="B309" t="s">
        <v>2106</v>
      </c>
      <c r="C309" t="s">
        <v>2002</v>
      </c>
      <c r="E309" s="6"/>
    </row>
    <row r="310" spans="1:5" x14ac:dyDescent="0.25">
      <c r="A310" t="s">
        <v>195</v>
      </c>
      <c r="B310" t="s">
        <v>196</v>
      </c>
      <c r="C310" t="s">
        <v>2002</v>
      </c>
      <c r="D310" s="6">
        <v>89840</v>
      </c>
      <c r="E310" s="6">
        <v>137488</v>
      </c>
    </row>
    <row r="311" spans="1:5" x14ac:dyDescent="0.25">
      <c r="A311" t="s">
        <v>2451</v>
      </c>
      <c r="B311" t="s">
        <v>1732</v>
      </c>
      <c r="C311" t="s">
        <v>2002</v>
      </c>
      <c r="E311" s="6"/>
    </row>
    <row r="312" spans="1:5" x14ac:dyDescent="0.25">
      <c r="A312" t="s">
        <v>2452</v>
      </c>
      <c r="B312" t="s">
        <v>2453</v>
      </c>
      <c r="C312" t="s">
        <v>2002</v>
      </c>
      <c r="E312" s="6"/>
    </row>
    <row r="313" spans="1:5" x14ac:dyDescent="0.25">
      <c r="A313" t="s">
        <v>2454</v>
      </c>
      <c r="B313" t="s">
        <v>53</v>
      </c>
      <c r="C313" t="s">
        <v>2002</v>
      </c>
      <c r="E313" s="6"/>
    </row>
    <row r="314" spans="1:5" x14ac:dyDescent="0.25">
      <c r="A314" t="s">
        <v>2455</v>
      </c>
      <c r="B314" t="s">
        <v>1734</v>
      </c>
      <c r="C314" t="s">
        <v>2029</v>
      </c>
      <c r="D314" s="6">
        <v>89334</v>
      </c>
      <c r="E314" s="6" t="s">
        <v>2456</v>
      </c>
    </row>
    <row r="315" spans="1:5" x14ac:dyDescent="0.25">
      <c r="A315" t="s">
        <v>2457</v>
      </c>
      <c r="B315" t="s">
        <v>2458</v>
      </c>
      <c r="C315" t="s">
        <v>2002</v>
      </c>
      <c r="E315" s="6"/>
    </row>
    <row r="316" spans="1:5" x14ac:dyDescent="0.25">
      <c r="A316" t="s">
        <v>2459</v>
      </c>
      <c r="B316" t="s">
        <v>439</v>
      </c>
      <c r="C316" t="s">
        <v>2460</v>
      </c>
      <c r="E316" s="6"/>
    </row>
    <row r="317" spans="1:5" x14ac:dyDescent="0.25">
      <c r="A317" t="s">
        <v>2461</v>
      </c>
      <c r="B317" t="s">
        <v>441</v>
      </c>
      <c r="C317" t="s">
        <v>2460</v>
      </c>
      <c r="E317" s="6"/>
    </row>
    <row r="318" spans="1:5" x14ac:dyDescent="0.25">
      <c r="A318" t="s">
        <v>2462</v>
      </c>
      <c r="B318" t="s">
        <v>440</v>
      </c>
      <c r="C318" t="s">
        <v>2460</v>
      </c>
      <c r="E318" s="6"/>
    </row>
    <row r="319" spans="1:5" x14ac:dyDescent="0.25">
      <c r="A319" t="s">
        <v>2463</v>
      </c>
      <c r="B319" t="s">
        <v>2464</v>
      </c>
      <c r="C319" t="s">
        <v>2460</v>
      </c>
      <c r="E319" s="6"/>
    </row>
    <row r="320" spans="1:5" x14ac:dyDescent="0.25">
      <c r="A320" t="s">
        <v>2465</v>
      </c>
      <c r="B320" t="s">
        <v>2006</v>
      </c>
      <c r="C320" t="s">
        <v>2460</v>
      </c>
      <c r="E320" s="6"/>
    </row>
    <row r="321" spans="1:5" x14ac:dyDescent="0.25">
      <c r="A321" t="s">
        <v>2466</v>
      </c>
      <c r="B321" t="s">
        <v>2467</v>
      </c>
      <c r="C321" t="s">
        <v>2460</v>
      </c>
      <c r="E321" s="6"/>
    </row>
    <row r="322" spans="1:5" x14ac:dyDescent="0.25">
      <c r="A322" t="s">
        <v>2468</v>
      </c>
      <c r="B322" t="s">
        <v>2469</v>
      </c>
      <c r="C322" t="s">
        <v>2460</v>
      </c>
      <c r="E322" s="6"/>
    </row>
    <row r="323" spans="1:5" x14ac:dyDescent="0.25">
      <c r="A323" t="s">
        <v>2470</v>
      </c>
      <c r="B323" t="s">
        <v>2471</v>
      </c>
      <c r="C323" t="s">
        <v>2002</v>
      </c>
      <c r="E323" s="6"/>
    </row>
    <row r="324" spans="1:5" x14ac:dyDescent="0.25">
      <c r="A324" t="s">
        <v>2472</v>
      </c>
      <c r="B324" t="s">
        <v>2106</v>
      </c>
      <c r="C324" t="s">
        <v>2002</v>
      </c>
      <c r="E324" s="6"/>
    </row>
    <row r="325" spans="1:5" x14ac:dyDescent="0.25">
      <c r="A325" t="s">
        <v>2473</v>
      </c>
      <c r="B325" t="s">
        <v>421</v>
      </c>
      <c r="C325" t="s">
        <v>2474</v>
      </c>
      <c r="E325" s="6"/>
    </row>
    <row r="326" spans="1:5" x14ac:dyDescent="0.25">
      <c r="A326" t="s">
        <v>2475</v>
      </c>
      <c r="B326" t="s">
        <v>438</v>
      </c>
      <c r="C326" t="s">
        <v>2460</v>
      </c>
      <c r="E326" s="6"/>
    </row>
    <row r="327" spans="1:5" x14ac:dyDescent="0.25">
      <c r="A327" t="s">
        <v>2476</v>
      </c>
      <c r="B327" t="s">
        <v>437</v>
      </c>
      <c r="C327" t="s">
        <v>2460</v>
      </c>
      <c r="E327" s="6"/>
    </row>
    <row r="328" spans="1:5" x14ac:dyDescent="0.25">
      <c r="A328" t="s">
        <v>1589</v>
      </c>
      <c r="B328" t="s">
        <v>1740</v>
      </c>
      <c r="E328" s="6"/>
    </row>
    <row r="329" spans="1:5" x14ac:dyDescent="0.25">
      <c r="A329" t="s">
        <v>2477</v>
      </c>
      <c r="B329" t="s">
        <v>417</v>
      </c>
      <c r="C329" t="s">
        <v>2002</v>
      </c>
      <c r="D329" s="6">
        <v>90221</v>
      </c>
      <c r="E329" s="6">
        <v>138252</v>
      </c>
    </row>
    <row r="330" spans="1:5" x14ac:dyDescent="0.25">
      <c r="A330" t="s">
        <v>2478</v>
      </c>
      <c r="B330" t="s">
        <v>431</v>
      </c>
      <c r="C330" t="s">
        <v>2002</v>
      </c>
      <c r="D330" s="6">
        <v>89203</v>
      </c>
      <c r="E330" s="6">
        <v>136082</v>
      </c>
    </row>
    <row r="331" spans="1:5" x14ac:dyDescent="0.25">
      <c r="A331" t="s">
        <v>2479</v>
      </c>
      <c r="B331" t="s">
        <v>2480</v>
      </c>
      <c r="C331" t="s">
        <v>2002</v>
      </c>
      <c r="D331" s="6">
        <v>90158</v>
      </c>
      <c r="E331" s="6">
        <v>137997</v>
      </c>
    </row>
    <row r="332" spans="1:5" x14ac:dyDescent="0.25">
      <c r="A332" t="s">
        <v>2481</v>
      </c>
      <c r="B332" t="s">
        <v>1727</v>
      </c>
      <c r="C332" t="s">
        <v>2002</v>
      </c>
      <c r="D332" s="6">
        <v>90120</v>
      </c>
      <c r="E332" s="6">
        <v>137965</v>
      </c>
    </row>
    <row r="333" spans="1:5" x14ac:dyDescent="0.25">
      <c r="A333" t="s">
        <v>2482</v>
      </c>
      <c r="B333" t="s">
        <v>2449</v>
      </c>
      <c r="C333" t="s">
        <v>2002</v>
      </c>
      <c r="D333" s="6">
        <v>88616</v>
      </c>
      <c r="E333" s="6">
        <v>135640</v>
      </c>
    </row>
    <row r="334" spans="1:5" x14ac:dyDescent="0.25">
      <c r="A334" t="s">
        <v>132</v>
      </c>
      <c r="B334" t="s">
        <v>133</v>
      </c>
      <c r="C334" t="s">
        <v>2002</v>
      </c>
      <c r="D334" s="6">
        <v>89315</v>
      </c>
      <c r="E334" s="6">
        <v>137057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8"/>
  <sheetViews>
    <sheetView workbookViewId="0">
      <selection activeCell="C14" sqref="C14"/>
    </sheetView>
  </sheetViews>
  <sheetFormatPr defaultRowHeight="15" x14ac:dyDescent="0.25"/>
  <cols>
    <col min="3" max="3" width="14.140625" style="2" customWidth="1"/>
    <col min="4" max="4" width="12.42578125" style="2" customWidth="1"/>
    <col min="5" max="5" width="45" bestFit="1" customWidth="1"/>
    <col min="6" max="6" width="15.7109375" customWidth="1"/>
  </cols>
  <sheetData>
    <row r="1" spans="1:6" x14ac:dyDescent="0.25">
      <c r="A1" t="s">
        <v>51</v>
      </c>
      <c r="B1" t="s">
        <v>50</v>
      </c>
      <c r="C1" s="2" t="s">
        <v>633</v>
      </c>
      <c r="D1" s="2" t="s">
        <v>634</v>
      </c>
      <c r="E1" t="s">
        <v>4</v>
      </c>
      <c r="F1" t="s">
        <v>60</v>
      </c>
    </row>
    <row r="2" spans="1:6" x14ac:dyDescent="0.25">
      <c r="A2" t="s">
        <v>435</v>
      </c>
      <c r="B2" t="s">
        <v>436</v>
      </c>
      <c r="C2" s="2">
        <v>45141</v>
      </c>
      <c r="D2" s="2">
        <v>45142</v>
      </c>
      <c r="E2" t="s">
        <v>1869</v>
      </c>
      <c r="F2">
        <v>90</v>
      </c>
    </row>
    <row r="3" spans="1:6" x14ac:dyDescent="0.25">
      <c r="A3" t="s">
        <v>435</v>
      </c>
      <c r="B3" t="s">
        <v>436</v>
      </c>
      <c r="C3" s="2">
        <v>45497</v>
      </c>
      <c r="D3" s="2">
        <v>45499</v>
      </c>
      <c r="E3" t="s">
        <v>1870</v>
      </c>
      <c r="F3">
        <v>45</v>
      </c>
    </row>
    <row r="4" spans="1:6" x14ac:dyDescent="0.25">
      <c r="A4" t="s">
        <v>435</v>
      </c>
      <c r="B4" t="s">
        <v>436</v>
      </c>
      <c r="C4" s="2">
        <v>45497</v>
      </c>
      <c r="D4" s="2">
        <v>45499</v>
      </c>
      <c r="E4" t="s">
        <v>1871</v>
      </c>
      <c r="F4">
        <v>90</v>
      </c>
    </row>
    <row r="5" spans="1:6" x14ac:dyDescent="0.25">
      <c r="A5" t="s">
        <v>474</v>
      </c>
      <c r="B5" t="s">
        <v>458</v>
      </c>
      <c r="C5" s="2">
        <v>45058</v>
      </c>
      <c r="D5" s="2">
        <v>45060</v>
      </c>
      <c r="E5" t="s">
        <v>472</v>
      </c>
      <c r="F5">
        <v>1154</v>
      </c>
    </row>
    <row r="6" spans="1:6" x14ac:dyDescent="0.25">
      <c r="A6" t="s">
        <v>474</v>
      </c>
      <c r="B6" t="s">
        <v>458</v>
      </c>
      <c r="C6" s="2">
        <v>45094</v>
      </c>
      <c r="D6" s="2">
        <v>45094</v>
      </c>
      <c r="E6" t="s">
        <v>475</v>
      </c>
      <c r="F6">
        <v>670</v>
      </c>
    </row>
    <row r="7" spans="1:6" x14ac:dyDescent="0.25">
      <c r="A7" t="s">
        <v>52</v>
      </c>
      <c r="B7" t="s">
        <v>53</v>
      </c>
      <c r="C7" s="2">
        <v>45128</v>
      </c>
      <c r="D7" s="2" t="s">
        <v>54</v>
      </c>
      <c r="E7" t="s">
        <v>55</v>
      </c>
      <c r="F7">
        <v>150</v>
      </c>
    </row>
    <row r="8" spans="1:6" x14ac:dyDescent="0.25">
      <c r="A8" t="s">
        <v>52</v>
      </c>
      <c r="B8" t="s">
        <v>53</v>
      </c>
      <c r="C8" s="2">
        <v>45135</v>
      </c>
      <c r="D8" s="2">
        <v>45137</v>
      </c>
      <c r="E8" t="s">
        <v>56</v>
      </c>
      <c r="F8">
        <v>142</v>
      </c>
    </row>
    <row r="9" spans="1:6" x14ac:dyDescent="0.25">
      <c r="A9" t="s">
        <v>52</v>
      </c>
      <c r="B9" t="s">
        <v>53</v>
      </c>
      <c r="C9" s="2">
        <v>45142</v>
      </c>
      <c r="D9" s="2">
        <v>45144</v>
      </c>
      <c r="E9" t="s">
        <v>57</v>
      </c>
      <c r="F9">
        <v>100</v>
      </c>
    </row>
    <row r="10" spans="1:6" x14ac:dyDescent="0.25">
      <c r="A10" t="s">
        <v>52</v>
      </c>
      <c r="B10" t="s">
        <v>53</v>
      </c>
      <c r="C10" s="2">
        <v>45149</v>
      </c>
      <c r="D10" s="2">
        <v>45151</v>
      </c>
      <c r="E10" t="s">
        <v>58</v>
      </c>
      <c r="F10">
        <v>130</v>
      </c>
    </row>
    <row r="11" spans="1:6" x14ac:dyDescent="0.25">
      <c r="A11" t="s">
        <v>52</v>
      </c>
      <c r="B11" t="s">
        <v>53</v>
      </c>
      <c r="C11" s="2">
        <v>45205</v>
      </c>
      <c r="D11" s="2">
        <v>45206</v>
      </c>
      <c r="E11" t="s">
        <v>59</v>
      </c>
      <c r="F11">
        <v>600</v>
      </c>
    </row>
    <row r="12" spans="1:6" x14ac:dyDescent="0.25">
      <c r="A12" t="s">
        <v>217</v>
      </c>
      <c r="B12" t="s">
        <v>218</v>
      </c>
      <c r="C12" s="2">
        <v>45219</v>
      </c>
      <c r="D12" s="2">
        <v>45220</v>
      </c>
      <c r="E12" t="s">
        <v>219</v>
      </c>
      <c r="F12">
        <v>1206</v>
      </c>
    </row>
    <row r="13" spans="1:6" x14ac:dyDescent="0.25">
      <c r="A13" t="s">
        <v>201</v>
      </c>
      <c r="B13" t="s">
        <v>94</v>
      </c>
      <c r="C13" s="2">
        <v>45276</v>
      </c>
      <c r="D13" s="2">
        <v>45277</v>
      </c>
      <c r="E13" t="s">
        <v>205</v>
      </c>
      <c r="F13">
        <v>90</v>
      </c>
    </row>
    <row r="14" spans="1:6" x14ac:dyDescent="0.25">
      <c r="A14" t="s">
        <v>78</v>
      </c>
      <c r="B14" t="s">
        <v>79</v>
      </c>
      <c r="C14" s="2">
        <v>45155</v>
      </c>
      <c r="D14" s="2">
        <v>45156</v>
      </c>
      <c r="E14" t="s">
        <v>65</v>
      </c>
      <c r="F14">
        <v>1234</v>
      </c>
    </row>
    <row r="15" spans="1:6" x14ac:dyDescent="0.25">
      <c r="A15" t="s">
        <v>78</v>
      </c>
      <c r="B15" t="s">
        <v>79</v>
      </c>
      <c r="C15" s="2">
        <v>45159</v>
      </c>
      <c r="D15" s="2">
        <v>45162</v>
      </c>
      <c r="E15" t="s">
        <v>103</v>
      </c>
      <c r="F15">
        <v>3400</v>
      </c>
    </row>
    <row r="16" spans="1:6" x14ac:dyDescent="0.25">
      <c r="A16" t="s">
        <v>442</v>
      </c>
      <c r="B16" t="s">
        <v>445</v>
      </c>
      <c r="C16" s="2">
        <v>45597</v>
      </c>
      <c r="D16" s="2">
        <v>45598</v>
      </c>
      <c r="E16" t="s">
        <v>443</v>
      </c>
      <c r="F16">
        <v>1154</v>
      </c>
    </row>
    <row r="17" spans="1:6" x14ac:dyDescent="0.25">
      <c r="A17" t="s">
        <v>442</v>
      </c>
      <c r="B17" t="s">
        <v>445</v>
      </c>
      <c r="C17" s="2">
        <v>45604</v>
      </c>
      <c r="D17" s="2">
        <v>45605</v>
      </c>
      <c r="E17" t="s">
        <v>444</v>
      </c>
      <c r="F17">
        <v>670</v>
      </c>
    </row>
    <row r="18" spans="1:6" x14ac:dyDescent="0.25">
      <c r="A18" t="s">
        <v>306</v>
      </c>
      <c r="B18" t="s">
        <v>307</v>
      </c>
      <c r="C18" s="2">
        <v>45219</v>
      </c>
      <c r="D18" s="2">
        <v>45220</v>
      </c>
      <c r="E18" t="s">
        <v>313</v>
      </c>
      <c r="F18">
        <v>1488</v>
      </c>
    </row>
    <row r="19" spans="1:6" x14ac:dyDescent="0.25">
      <c r="A19" t="s">
        <v>306</v>
      </c>
      <c r="B19" t="s">
        <v>307</v>
      </c>
      <c r="C19" s="2">
        <v>45226</v>
      </c>
      <c r="D19" s="2">
        <v>45227</v>
      </c>
      <c r="E19" t="s">
        <v>316</v>
      </c>
      <c r="F19">
        <v>1520</v>
      </c>
    </row>
    <row r="20" spans="1:6" x14ac:dyDescent="0.25">
      <c r="A20" t="s">
        <v>306</v>
      </c>
      <c r="B20" t="s">
        <v>307</v>
      </c>
      <c r="C20" s="2">
        <v>45240</v>
      </c>
      <c r="D20" s="2">
        <v>45241</v>
      </c>
      <c r="E20" t="s">
        <v>352</v>
      </c>
      <c r="F20">
        <v>1544</v>
      </c>
    </row>
    <row r="21" spans="1:6" x14ac:dyDescent="0.25">
      <c r="A21" t="s">
        <v>306</v>
      </c>
      <c r="B21" t="s">
        <v>307</v>
      </c>
      <c r="C21" s="2">
        <v>45247</v>
      </c>
      <c r="D21" s="2">
        <v>45249</v>
      </c>
      <c r="E21" t="s">
        <v>353</v>
      </c>
      <c r="F21">
        <v>1440</v>
      </c>
    </row>
    <row r="22" spans="1:6" x14ac:dyDescent="0.25">
      <c r="A22" t="s">
        <v>306</v>
      </c>
      <c r="B22" t="s">
        <v>307</v>
      </c>
      <c r="C22" s="2">
        <v>45261</v>
      </c>
      <c r="D22" s="2">
        <v>45262</v>
      </c>
      <c r="E22" t="s">
        <v>333</v>
      </c>
      <c r="F22">
        <v>968</v>
      </c>
    </row>
    <row r="23" spans="1:6" x14ac:dyDescent="0.25">
      <c r="A23" t="s">
        <v>306</v>
      </c>
      <c r="B23" t="s">
        <v>307</v>
      </c>
      <c r="C23" s="2">
        <v>45268</v>
      </c>
      <c r="D23" s="2">
        <v>45269</v>
      </c>
      <c r="E23" t="s">
        <v>345</v>
      </c>
      <c r="F23">
        <v>1086</v>
      </c>
    </row>
    <row r="24" spans="1:6" x14ac:dyDescent="0.25">
      <c r="A24" t="s">
        <v>306</v>
      </c>
      <c r="B24" t="s">
        <v>307</v>
      </c>
      <c r="C24" s="2">
        <v>45286</v>
      </c>
      <c r="D24" s="2">
        <v>45290</v>
      </c>
      <c r="E24" t="s">
        <v>354</v>
      </c>
      <c r="F24">
        <v>5260</v>
      </c>
    </row>
    <row r="25" spans="1:6" x14ac:dyDescent="0.25">
      <c r="A25" t="s">
        <v>306</v>
      </c>
      <c r="B25" t="s">
        <v>307</v>
      </c>
      <c r="C25" s="2">
        <v>45296</v>
      </c>
      <c r="D25" s="2">
        <v>45297</v>
      </c>
      <c r="E25" t="s">
        <v>309</v>
      </c>
      <c r="F25">
        <v>732</v>
      </c>
    </row>
    <row r="26" spans="1:6" x14ac:dyDescent="0.25">
      <c r="A26" t="s">
        <v>276</v>
      </c>
      <c r="B26" t="s">
        <v>275</v>
      </c>
      <c r="C26" s="2">
        <v>45252</v>
      </c>
      <c r="D26" s="2">
        <v>45256</v>
      </c>
      <c r="E26" t="s">
        <v>277</v>
      </c>
      <c r="F26">
        <v>1992</v>
      </c>
    </row>
    <row r="27" spans="1:6" x14ac:dyDescent="0.25">
      <c r="A27" t="s">
        <v>276</v>
      </c>
      <c r="B27" t="s">
        <v>275</v>
      </c>
      <c r="C27" s="2">
        <v>45268</v>
      </c>
      <c r="D27" s="2">
        <v>45270</v>
      </c>
      <c r="E27" t="s">
        <v>278</v>
      </c>
      <c r="F27">
        <v>2220</v>
      </c>
    </row>
    <row r="28" spans="1:6" x14ac:dyDescent="0.25">
      <c r="A28" t="s">
        <v>276</v>
      </c>
      <c r="B28" t="s">
        <v>275</v>
      </c>
      <c r="C28" s="2">
        <v>45286</v>
      </c>
      <c r="D28" s="2">
        <v>45289</v>
      </c>
      <c r="E28" t="s">
        <v>280</v>
      </c>
      <c r="F28">
        <v>6500</v>
      </c>
    </row>
    <row r="29" spans="1:6" x14ac:dyDescent="0.25">
      <c r="A29" t="s">
        <v>276</v>
      </c>
      <c r="B29" t="s">
        <v>275</v>
      </c>
      <c r="C29" s="2">
        <v>45475</v>
      </c>
      <c r="D29" s="2">
        <v>45476</v>
      </c>
      <c r="E29" t="s">
        <v>279</v>
      </c>
      <c r="F29">
        <v>740</v>
      </c>
    </row>
    <row r="30" spans="1:6" x14ac:dyDescent="0.25">
      <c r="A30" t="s">
        <v>1630</v>
      </c>
      <c r="B30" t="s">
        <v>1730</v>
      </c>
      <c r="C30" s="2">
        <v>45175</v>
      </c>
      <c r="D30" s="2">
        <v>45175</v>
      </c>
      <c r="E30" t="s">
        <v>356</v>
      </c>
    </row>
    <row r="31" spans="1:6" x14ac:dyDescent="0.25">
      <c r="A31" t="s">
        <v>1630</v>
      </c>
      <c r="B31" t="s">
        <v>1730</v>
      </c>
      <c r="C31" s="2">
        <v>45458</v>
      </c>
      <c r="D31" s="2">
        <v>45459</v>
      </c>
      <c r="E31" t="s">
        <v>1810</v>
      </c>
      <c r="F31">
        <v>1220</v>
      </c>
    </row>
    <row r="32" spans="1:6" x14ac:dyDescent="0.25">
      <c r="A32" t="s">
        <v>1630</v>
      </c>
      <c r="B32" t="s">
        <v>1730</v>
      </c>
      <c r="C32" s="2">
        <v>45514</v>
      </c>
      <c r="D32" s="2">
        <v>45514</v>
      </c>
      <c r="E32" t="s">
        <v>1857</v>
      </c>
      <c r="F32">
        <v>9</v>
      </c>
    </row>
    <row r="33" spans="1:6" x14ac:dyDescent="0.25">
      <c r="A33" t="s">
        <v>1630</v>
      </c>
      <c r="B33" t="s">
        <v>1730</v>
      </c>
      <c r="C33" s="2">
        <v>45556</v>
      </c>
      <c r="D33" s="2">
        <v>45556</v>
      </c>
      <c r="E33" t="s">
        <v>1814</v>
      </c>
      <c r="F33">
        <v>1</v>
      </c>
    </row>
    <row r="34" spans="1:6" x14ac:dyDescent="0.25">
      <c r="A34" t="s">
        <v>1630</v>
      </c>
      <c r="B34" t="s">
        <v>1730</v>
      </c>
      <c r="C34" s="2">
        <v>45625</v>
      </c>
      <c r="D34" s="2">
        <v>45627</v>
      </c>
      <c r="E34" t="s">
        <v>1859</v>
      </c>
      <c r="F34">
        <v>740</v>
      </c>
    </row>
    <row r="35" spans="1:6" x14ac:dyDescent="0.25">
      <c r="A35" t="s">
        <v>1630</v>
      </c>
      <c r="B35" t="s">
        <v>1730</v>
      </c>
      <c r="C35" s="2">
        <v>45684</v>
      </c>
      <c r="D35" s="2">
        <v>45686</v>
      </c>
      <c r="F35">
        <v>1</v>
      </c>
    </row>
    <row r="36" spans="1:6" x14ac:dyDescent="0.25">
      <c r="A36" t="s">
        <v>1630</v>
      </c>
      <c r="B36" t="s">
        <v>1730</v>
      </c>
      <c r="C36" s="2">
        <v>45686</v>
      </c>
      <c r="D36" s="2">
        <v>45687</v>
      </c>
      <c r="F36">
        <v>1</v>
      </c>
    </row>
    <row r="37" spans="1:6" x14ac:dyDescent="0.25">
      <c r="A37" t="s">
        <v>1630</v>
      </c>
      <c r="B37" t="s">
        <v>1730</v>
      </c>
      <c r="C37" s="2">
        <v>45691</v>
      </c>
      <c r="D37" s="2">
        <v>45691</v>
      </c>
      <c r="F37">
        <v>1</v>
      </c>
    </row>
    <row r="38" spans="1:6" x14ac:dyDescent="0.25">
      <c r="A38" t="s">
        <v>1630</v>
      </c>
      <c r="B38" t="s">
        <v>1730</v>
      </c>
      <c r="C38" s="2">
        <v>45701</v>
      </c>
      <c r="D38" s="2">
        <v>45702</v>
      </c>
      <c r="F38">
        <v>1</v>
      </c>
    </row>
    <row r="39" spans="1:6" x14ac:dyDescent="0.25">
      <c r="A39" t="s">
        <v>1630</v>
      </c>
      <c r="B39" t="s">
        <v>1730</v>
      </c>
      <c r="C39" s="2">
        <v>45712</v>
      </c>
      <c r="D39" s="2">
        <v>45712</v>
      </c>
      <c r="F39">
        <v>1</v>
      </c>
    </row>
    <row r="40" spans="1:6" x14ac:dyDescent="0.25">
      <c r="A40" t="s">
        <v>1630</v>
      </c>
      <c r="B40" t="s">
        <v>1730</v>
      </c>
      <c r="C40" s="2">
        <v>45719</v>
      </c>
      <c r="D40" s="2">
        <v>45719</v>
      </c>
      <c r="F40">
        <v>1</v>
      </c>
    </row>
    <row r="41" spans="1:6" x14ac:dyDescent="0.25">
      <c r="A41" t="s">
        <v>1630</v>
      </c>
      <c r="B41" t="s">
        <v>1730</v>
      </c>
      <c r="C41" s="2">
        <v>45733</v>
      </c>
      <c r="D41" s="2">
        <v>45733</v>
      </c>
      <c r="F41">
        <v>1</v>
      </c>
    </row>
    <row r="42" spans="1:6" x14ac:dyDescent="0.25">
      <c r="A42" t="s">
        <v>1630</v>
      </c>
      <c r="B42" t="s">
        <v>1730</v>
      </c>
      <c r="C42" s="2">
        <v>45771</v>
      </c>
      <c r="D42" s="2">
        <v>45771</v>
      </c>
      <c r="F42">
        <v>1</v>
      </c>
    </row>
    <row r="43" spans="1:6" x14ac:dyDescent="0.25">
      <c r="A43" t="s">
        <v>1630</v>
      </c>
      <c r="B43" t="s">
        <v>1730</v>
      </c>
      <c r="C43" s="2">
        <v>45726</v>
      </c>
      <c r="D43" s="2">
        <v>45726</v>
      </c>
      <c r="F43">
        <v>1</v>
      </c>
    </row>
    <row r="44" spans="1:6" x14ac:dyDescent="0.25">
      <c r="A44" t="s">
        <v>1630</v>
      </c>
      <c r="B44" t="s">
        <v>1730</v>
      </c>
      <c r="C44" s="2">
        <v>45772</v>
      </c>
      <c r="D44" s="2">
        <v>45774</v>
      </c>
      <c r="E44" t="s">
        <v>1858</v>
      </c>
      <c r="F44">
        <v>260</v>
      </c>
    </row>
    <row r="45" spans="1:6" x14ac:dyDescent="0.25">
      <c r="A45" t="s">
        <v>403</v>
      </c>
      <c r="B45" t="s">
        <v>404</v>
      </c>
      <c r="C45" s="2">
        <v>45233</v>
      </c>
      <c r="D45" s="2">
        <v>45234</v>
      </c>
      <c r="E45" t="s">
        <v>397</v>
      </c>
      <c r="F45">
        <v>317</v>
      </c>
    </row>
    <row r="46" spans="1:6" x14ac:dyDescent="0.25">
      <c r="A46" t="s">
        <v>403</v>
      </c>
      <c r="B46" t="s">
        <v>404</v>
      </c>
      <c r="C46" s="2">
        <v>45233</v>
      </c>
      <c r="D46" s="2">
        <v>45234</v>
      </c>
      <c r="E46" t="s">
        <v>398</v>
      </c>
      <c r="F46">
        <v>630</v>
      </c>
    </row>
    <row r="47" spans="1:6" x14ac:dyDescent="0.25">
      <c r="A47" t="s">
        <v>403</v>
      </c>
      <c r="B47" t="s">
        <v>404</v>
      </c>
      <c r="C47" s="2">
        <v>45240</v>
      </c>
      <c r="D47" s="2">
        <v>45241</v>
      </c>
      <c r="E47" t="s">
        <v>399</v>
      </c>
      <c r="F47">
        <v>1230</v>
      </c>
    </row>
    <row r="48" spans="1:6" x14ac:dyDescent="0.25">
      <c r="A48" t="s">
        <v>403</v>
      </c>
      <c r="B48" t="s">
        <v>404</v>
      </c>
      <c r="C48" s="2">
        <v>45247</v>
      </c>
      <c r="D48" s="2">
        <v>45248</v>
      </c>
      <c r="E48" t="s">
        <v>400</v>
      </c>
      <c r="F48">
        <v>1254</v>
      </c>
    </row>
    <row r="49" spans="1:6" x14ac:dyDescent="0.25">
      <c r="A49" t="s">
        <v>403</v>
      </c>
      <c r="B49" t="s">
        <v>404</v>
      </c>
      <c r="C49" s="2">
        <v>45252</v>
      </c>
      <c r="D49" s="2">
        <v>45255</v>
      </c>
      <c r="E49" t="s">
        <v>401</v>
      </c>
      <c r="F49">
        <v>2448</v>
      </c>
    </row>
    <row r="50" spans="1:6" x14ac:dyDescent="0.25">
      <c r="A50" t="s">
        <v>403</v>
      </c>
      <c r="B50" t="s">
        <v>404</v>
      </c>
      <c r="C50" s="2">
        <v>45261</v>
      </c>
      <c r="D50" s="2">
        <v>45262</v>
      </c>
      <c r="E50" t="s">
        <v>402</v>
      </c>
      <c r="F50">
        <v>960</v>
      </c>
    </row>
    <row r="51" spans="1:6" x14ac:dyDescent="0.25">
      <c r="A51" t="s">
        <v>476</v>
      </c>
      <c r="B51" t="s">
        <v>477</v>
      </c>
      <c r="C51" s="2">
        <v>45541</v>
      </c>
      <c r="D51" s="2">
        <v>45542</v>
      </c>
      <c r="E51" t="s">
        <v>478</v>
      </c>
      <c r="F51">
        <v>1152</v>
      </c>
    </row>
    <row r="52" spans="1:6" x14ac:dyDescent="0.25">
      <c r="A52" t="s">
        <v>476</v>
      </c>
      <c r="B52" t="s">
        <v>477</v>
      </c>
      <c r="C52" s="2">
        <v>45548</v>
      </c>
      <c r="D52" s="2">
        <v>45549</v>
      </c>
      <c r="E52" t="s">
        <v>479</v>
      </c>
      <c r="F52">
        <v>768</v>
      </c>
    </row>
    <row r="53" spans="1:6" x14ac:dyDescent="0.25">
      <c r="A53" t="s">
        <v>476</v>
      </c>
      <c r="B53" t="s">
        <v>477</v>
      </c>
      <c r="C53" s="2">
        <v>45569</v>
      </c>
      <c r="D53" s="2">
        <v>45570</v>
      </c>
      <c r="E53" t="s">
        <v>480</v>
      </c>
      <c r="F53">
        <v>1000</v>
      </c>
    </row>
    <row r="54" spans="1:6" x14ac:dyDescent="0.25">
      <c r="A54" t="s">
        <v>476</v>
      </c>
      <c r="B54" t="s">
        <v>477</v>
      </c>
      <c r="C54" s="2">
        <v>45576</v>
      </c>
      <c r="D54" s="2">
        <v>45577</v>
      </c>
      <c r="E54" t="s">
        <v>481</v>
      </c>
      <c r="F54">
        <v>796</v>
      </c>
    </row>
    <row r="55" spans="1:6" x14ac:dyDescent="0.25">
      <c r="A55" t="s">
        <v>476</v>
      </c>
      <c r="B55" t="s">
        <v>477</v>
      </c>
      <c r="C55" s="2">
        <v>45583</v>
      </c>
      <c r="D55" s="2">
        <v>45584</v>
      </c>
      <c r="E55" t="s">
        <v>482</v>
      </c>
      <c r="F55">
        <v>720</v>
      </c>
    </row>
    <row r="56" spans="1:6" x14ac:dyDescent="0.25">
      <c r="A56" t="s">
        <v>476</v>
      </c>
      <c r="B56" t="s">
        <v>477</v>
      </c>
      <c r="C56" s="2">
        <v>45590</v>
      </c>
      <c r="D56" s="2">
        <v>45591</v>
      </c>
      <c r="E56" t="s">
        <v>483</v>
      </c>
      <c r="F56">
        <v>796</v>
      </c>
    </row>
    <row r="57" spans="1:6" x14ac:dyDescent="0.25">
      <c r="A57" t="s">
        <v>476</v>
      </c>
      <c r="B57" t="s">
        <v>477</v>
      </c>
      <c r="C57" s="2">
        <v>45611</v>
      </c>
      <c r="D57" s="2">
        <v>45612</v>
      </c>
      <c r="E57" t="s">
        <v>484</v>
      </c>
      <c r="F57">
        <v>1560</v>
      </c>
    </row>
    <row r="58" spans="1:6" x14ac:dyDescent="0.25">
      <c r="A58" t="s">
        <v>476</v>
      </c>
      <c r="B58" t="s">
        <v>477</v>
      </c>
      <c r="C58" s="2">
        <v>45618</v>
      </c>
      <c r="D58" s="2">
        <v>45619</v>
      </c>
      <c r="E58" t="s">
        <v>485</v>
      </c>
      <c r="F58">
        <v>768</v>
      </c>
    </row>
    <row r="59" spans="1:6" x14ac:dyDescent="0.25">
      <c r="A59" t="s">
        <v>476</v>
      </c>
      <c r="B59" t="s">
        <v>477</v>
      </c>
      <c r="C59" s="2">
        <v>45632</v>
      </c>
      <c r="D59" s="2">
        <v>45633</v>
      </c>
      <c r="E59" t="s">
        <v>486</v>
      </c>
      <c r="F59">
        <v>766</v>
      </c>
    </row>
    <row r="60" spans="1:6" x14ac:dyDescent="0.25">
      <c r="A60" t="s">
        <v>476</v>
      </c>
      <c r="B60" t="s">
        <v>477</v>
      </c>
      <c r="C60" s="2">
        <v>45652</v>
      </c>
      <c r="D60" s="2">
        <v>45654</v>
      </c>
      <c r="E60" t="s">
        <v>487</v>
      </c>
      <c r="F60">
        <v>2292</v>
      </c>
    </row>
    <row r="61" spans="1:6" x14ac:dyDescent="0.25">
      <c r="A61" t="s">
        <v>476</v>
      </c>
      <c r="B61" t="s">
        <v>477</v>
      </c>
      <c r="C61" s="2">
        <v>45653</v>
      </c>
      <c r="D61" s="2">
        <v>45654</v>
      </c>
      <c r="E61" t="s">
        <v>488</v>
      </c>
      <c r="F61">
        <v>10</v>
      </c>
    </row>
    <row r="62" spans="1:6" x14ac:dyDescent="0.25">
      <c r="A62" t="s">
        <v>476</v>
      </c>
      <c r="B62" t="s">
        <v>477</v>
      </c>
      <c r="C62" s="2">
        <v>45667</v>
      </c>
      <c r="D62" s="2">
        <v>45668</v>
      </c>
      <c r="E62" t="s">
        <v>489</v>
      </c>
      <c r="F62">
        <v>760</v>
      </c>
    </row>
    <row r="63" spans="1:6" x14ac:dyDescent="0.25">
      <c r="A63" t="s">
        <v>476</v>
      </c>
      <c r="B63" t="s">
        <v>477</v>
      </c>
      <c r="C63" s="2">
        <v>45674</v>
      </c>
      <c r="D63" s="2">
        <v>45676</v>
      </c>
      <c r="E63" t="s">
        <v>490</v>
      </c>
      <c r="F63">
        <v>1556</v>
      </c>
    </row>
    <row r="64" spans="1:6" x14ac:dyDescent="0.25">
      <c r="A64" t="s">
        <v>476</v>
      </c>
      <c r="B64" t="s">
        <v>477</v>
      </c>
      <c r="C64" s="2">
        <v>45688</v>
      </c>
      <c r="D64" s="2">
        <v>45689</v>
      </c>
      <c r="E64" t="s">
        <v>491</v>
      </c>
      <c r="F64">
        <v>1556</v>
      </c>
    </row>
    <row r="65" spans="1:6" x14ac:dyDescent="0.25">
      <c r="A65" t="s">
        <v>476</v>
      </c>
      <c r="B65" t="s">
        <v>477</v>
      </c>
      <c r="C65" s="2">
        <v>45709</v>
      </c>
      <c r="D65" s="2">
        <v>45710</v>
      </c>
      <c r="E65" t="s">
        <v>492</v>
      </c>
      <c r="F65">
        <v>1582</v>
      </c>
    </row>
    <row r="66" spans="1:6" x14ac:dyDescent="0.25">
      <c r="A66" t="s">
        <v>476</v>
      </c>
      <c r="B66" t="s">
        <v>477</v>
      </c>
      <c r="C66" s="2">
        <v>45716</v>
      </c>
      <c r="D66" s="2">
        <v>45717</v>
      </c>
      <c r="E66" t="s">
        <v>493</v>
      </c>
      <c r="F66">
        <v>1558</v>
      </c>
    </row>
    <row r="67" spans="1:6" x14ac:dyDescent="0.25">
      <c r="A67" t="s">
        <v>476</v>
      </c>
      <c r="B67" t="s">
        <v>477</v>
      </c>
      <c r="C67" s="2">
        <v>45730</v>
      </c>
      <c r="D67" s="2">
        <v>45366</v>
      </c>
      <c r="E67" t="s">
        <v>494</v>
      </c>
      <c r="F67">
        <v>766</v>
      </c>
    </row>
    <row r="68" spans="1:6" x14ac:dyDescent="0.25">
      <c r="A68" t="s">
        <v>476</v>
      </c>
      <c r="B68" t="s">
        <v>477</v>
      </c>
      <c r="C68" s="2">
        <v>45752</v>
      </c>
      <c r="D68" s="2">
        <v>45753</v>
      </c>
      <c r="E68" t="s">
        <v>495</v>
      </c>
      <c r="F68">
        <v>480</v>
      </c>
    </row>
    <row r="69" spans="1:6" x14ac:dyDescent="0.25">
      <c r="A69" t="s">
        <v>476</v>
      </c>
      <c r="B69" t="s">
        <v>477</v>
      </c>
      <c r="C69" s="2">
        <v>45758</v>
      </c>
      <c r="D69" s="2">
        <v>45760</v>
      </c>
      <c r="E69" t="s">
        <v>496</v>
      </c>
      <c r="F69">
        <v>1532</v>
      </c>
    </row>
    <row r="70" spans="1:6" x14ac:dyDescent="0.25">
      <c r="A70" t="s">
        <v>476</v>
      </c>
      <c r="B70" t="s">
        <v>477</v>
      </c>
      <c r="C70" s="2">
        <v>45779</v>
      </c>
      <c r="D70" s="2">
        <v>45780</v>
      </c>
      <c r="E70" t="s">
        <v>497</v>
      </c>
      <c r="F70">
        <v>1120</v>
      </c>
    </row>
    <row r="71" spans="1:6" x14ac:dyDescent="0.25">
      <c r="A71" t="s">
        <v>476</v>
      </c>
      <c r="B71" t="s">
        <v>477</v>
      </c>
      <c r="C71" s="2">
        <v>45800</v>
      </c>
      <c r="D71" s="2">
        <v>45801</v>
      </c>
      <c r="E71" t="s">
        <v>498</v>
      </c>
      <c r="F71">
        <v>1120</v>
      </c>
    </row>
    <row r="72" spans="1:6" x14ac:dyDescent="0.25">
      <c r="A72" t="s">
        <v>476</v>
      </c>
      <c r="B72" t="s">
        <v>477</v>
      </c>
      <c r="C72" s="2">
        <v>45808</v>
      </c>
      <c r="D72" s="2">
        <v>45809</v>
      </c>
      <c r="E72" t="s">
        <v>499</v>
      </c>
      <c r="F72">
        <v>1556</v>
      </c>
    </row>
    <row r="73" spans="1:6" x14ac:dyDescent="0.25">
      <c r="A73" t="s">
        <v>666</v>
      </c>
      <c r="B73" t="s">
        <v>431</v>
      </c>
      <c r="C73" s="2">
        <v>45266</v>
      </c>
      <c r="D73" s="2">
        <v>45266</v>
      </c>
      <c r="E73" t="s">
        <v>701</v>
      </c>
      <c r="F73">
        <v>0</v>
      </c>
    </row>
    <row r="74" spans="1:6" x14ac:dyDescent="0.25">
      <c r="A74" t="s">
        <v>666</v>
      </c>
      <c r="B74" t="s">
        <v>431</v>
      </c>
      <c r="C74" s="2">
        <v>45520</v>
      </c>
      <c r="D74" s="2">
        <v>45521</v>
      </c>
      <c r="E74" t="s">
        <v>702</v>
      </c>
      <c r="F74">
        <v>374</v>
      </c>
    </row>
    <row r="75" spans="1:6" x14ac:dyDescent="0.25">
      <c r="A75" t="s">
        <v>666</v>
      </c>
      <c r="B75" t="s">
        <v>431</v>
      </c>
      <c r="C75" s="2">
        <v>45527</v>
      </c>
      <c r="D75" s="2">
        <v>45528</v>
      </c>
      <c r="E75" t="s">
        <v>703</v>
      </c>
      <c r="F75">
        <v>1782</v>
      </c>
    </row>
    <row r="76" spans="1:6" x14ac:dyDescent="0.25">
      <c r="A76" t="s">
        <v>666</v>
      </c>
      <c r="B76" t="s">
        <v>431</v>
      </c>
      <c r="C76" s="2">
        <v>45632</v>
      </c>
      <c r="D76" s="2">
        <v>45633</v>
      </c>
      <c r="E76" t="s">
        <v>704</v>
      </c>
      <c r="F76">
        <v>760</v>
      </c>
    </row>
    <row r="77" spans="1:6" x14ac:dyDescent="0.25">
      <c r="A77" t="s">
        <v>666</v>
      </c>
      <c r="B77" t="s">
        <v>431</v>
      </c>
      <c r="C77" s="2">
        <v>45639</v>
      </c>
      <c r="D77" s="2">
        <v>45640</v>
      </c>
      <c r="E77" t="s">
        <v>705</v>
      </c>
      <c r="F77">
        <v>1260</v>
      </c>
    </row>
    <row r="78" spans="1:6" x14ac:dyDescent="0.25">
      <c r="A78" t="s">
        <v>195</v>
      </c>
      <c r="B78" t="s">
        <v>196</v>
      </c>
      <c r="C78" s="2">
        <v>45505</v>
      </c>
      <c r="D78" s="2">
        <v>45508</v>
      </c>
      <c r="E78" t="s">
        <v>197</v>
      </c>
      <c r="F78">
        <v>980</v>
      </c>
    </row>
    <row r="79" spans="1:6" x14ac:dyDescent="0.25">
      <c r="A79" t="s">
        <v>195</v>
      </c>
      <c r="B79" t="s">
        <v>196</v>
      </c>
      <c r="C79" s="2">
        <v>45509</v>
      </c>
      <c r="D79" s="2">
        <v>45510</v>
      </c>
      <c r="E79" t="s">
        <v>198</v>
      </c>
      <c r="F79">
        <v>1260</v>
      </c>
    </row>
    <row r="80" spans="1:6" x14ac:dyDescent="0.25">
      <c r="A80" t="s">
        <v>195</v>
      </c>
      <c r="B80" t="s">
        <v>196</v>
      </c>
      <c r="C80" s="2">
        <v>45513</v>
      </c>
      <c r="D80" s="2">
        <v>45515</v>
      </c>
      <c r="E80" t="s">
        <v>158</v>
      </c>
      <c r="F80">
        <v>970</v>
      </c>
    </row>
    <row r="81" spans="1:6" x14ac:dyDescent="0.25">
      <c r="A81" t="s">
        <v>195</v>
      </c>
      <c r="B81" t="s">
        <v>196</v>
      </c>
      <c r="C81" s="2">
        <v>45520</v>
      </c>
      <c r="D81" s="2">
        <v>45522</v>
      </c>
      <c r="E81" t="s">
        <v>172</v>
      </c>
      <c r="F81">
        <v>1315</v>
      </c>
    </row>
    <row r="82" spans="1:6" x14ac:dyDescent="0.25">
      <c r="A82" t="s">
        <v>195</v>
      </c>
      <c r="B82" t="s">
        <v>196</v>
      </c>
      <c r="C82" s="2">
        <v>45527</v>
      </c>
      <c r="D82" s="2">
        <v>45529</v>
      </c>
      <c r="E82" t="s">
        <v>184</v>
      </c>
      <c r="F82">
        <v>1315</v>
      </c>
    </row>
    <row r="83" spans="1:6" x14ac:dyDescent="0.25">
      <c r="A83" t="s">
        <v>132</v>
      </c>
      <c r="B83" t="s">
        <v>133</v>
      </c>
      <c r="C83" s="2">
        <v>45527</v>
      </c>
      <c r="D83" s="2">
        <v>45529</v>
      </c>
      <c r="E83" t="s">
        <v>134</v>
      </c>
      <c r="F83">
        <v>1270</v>
      </c>
    </row>
    <row r="84" spans="1:6" x14ac:dyDescent="0.25">
      <c r="A84" t="s">
        <v>706</v>
      </c>
      <c r="B84" t="s">
        <v>707</v>
      </c>
      <c r="C84" s="2">
        <v>45758</v>
      </c>
      <c r="D84" s="2">
        <v>45760</v>
      </c>
      <c r="E84" t="s">
        <v>723</v>
      </c>
      <c r="F84">
        <v>3675</v>
      </c>
    </row>
    <row r="85" spans="1:6" x14ac:dyDescent="0.25">
      <c r="A85" t="s">
        <v>706</v>
      </c>
      <c r="B85" t="s">
        <v>707</v>
      </c>
      <c r="C85" s="2">
        <v>45807</v>
      </c>
      <c r="D85" s="2">
        <v>45808</v>
      </c>
      <c r="E85" t="s">
        <v>724</v>
      </c>
      <c r="F85">
        <v>152</v>
      </c>
    </row>
    <row r="86" spans="1:6" x14ac:dyDescent="0.25">
      <c r="A86" t="s">
        <v>636</v>
      </c>
      <c r="B86" t="s">
        <v>637</v>
      </c>
      <c r="C86" s="2">
        <v>45436</v>
      </c>
      <c r="D86" s="2">
        <v>45437</v>
      </c>
      <c r="E86" t="s">
        <v>662</v>
      </c>
      <c r="F86">
        <v>70</v>
      </c>
    </row>
    <row r="87" spans="1:6" x14ac:dyDescent="0.25">
      <c r="A87" t="s">
        <v>636</v>
      </c>
      <c r="B87" t="s">
        <v>637</v>
      </c>
      <c r="C87" s="2">
        <v>45471</v>
      </c>
      <c r="D87" s="2">
        <v>45473</v>
      </c>
      <c r="E87" t="s">
        <v>662</v>
      </c>
      <c r="F87">
        <v>385</v>
      </c>
    </row>
    <row r="88" spans="1:6" x14ac:dyDescent="0.25">
      <c r="A88" t="s">
        <v>636</v>
      </c>
      <c r="B88" t="s">
        <v>637</v>
      </c>
      <c r="C88" s="2">
        <v>45653</v>
      </c>
      <c r="D88" s="2">
        <v>45654</v>
      </c>
      <c r="E88" t="s">
        <v>651</v>
      </c>
      <c r="F88">
        <v>10</v>
      </c>
    </row>
    <row r="89" spans="1:6" x14ac:dyDescent="0.25">
      <c r="A89" t="s">
        <v>636</v>
      </c>
      <c r="B89" t="s">
        <v>637</v>
      </c>
      <c r="C89" s="2">
        <v>45759</v>
      </c>
      <c r="D89" s="2">
        <v>45760</v>
      </c>
      <c r="E89" t="s">
        <v>663</v>
      </c>
      <c r="F89">
        <v>35</v>
      </c>
    </row>
    <row r="90" spans="1:6" x14ac:dyDescent="0.25">
      <c r="A90" t="s">
        <v>636</v>
      </c>
      <c r="B90" t="s">
        <v>637</v>
      </c>
      <c r="C90" s="2">
        <v>45800</v>
      </c>
      <c r="D90" s="2">
        <v>45801</v>
      </c>
      <c r="E90" t="s">
        <v>664</v>
      </c>
      <c r="F90">
        <v>10</v>
      </c>
    </row>
    <row r="91" spans="1:6" x14ac:dyDescent="0.25">
      <c r="A91" t="s">
        <v>636</v>
      </c>
      <c r="B91" t="s">
        <v>637</v>
      </c>
      <c r="C91" s="2">
        <v>45808</v>
      </c>
      <c r="D91" s="2">
        <v>45809</v>
      </c>
      <c r="E91" t="s">
        <v>665</v>
      </c>
      <c r="F91">
        <v>147</v>
      </c>
    </row>
    <row r="92" spans="1:6" x14ac:dyDescent="0.25">
      <c r="A92" t="s">
        <v>636</v>
      </c>
      <c r="B92" t="s">
        <v>637</v>
      </c>
      <c r="C92" s="2">
        <v>45436</v>
      </c>
      <c r="D92" s="2">
        <v>45437</v>
      </c>
      <c r="E92" t="s">
        <v>662</v>
      </c>
      <c r="F92">
        <v>70</v>
      </c>
    </row>
    <row r="93" spans="1:6" x14ac:dyDescent="0.25">
      <c r="A93" t="s">
        <v>636</v>
      </c>
      <c r="B93" t="s">
        <v>637</v>
      </c>
      <c r="C93" s="2">
        <v>45471</v>
      </c>
      <c r="D93" s="2">
        <v>45473</v>
      </c>
      <c r="E93" t="s">
        <v>662</v>
      </c>
      <c r="F93">
        <v>405</v>
      </c>
    </row>
    <row r="94" spans="1:6" x14ac:dyDescent="0.25">
      <c r="A94" t="s">
        <v>636</v>
      </c>
      <c r="B94" t="s">
        <v>637</v>
      </c>
      <c r="C94" s="2">
        <v>45425</v>
      </c>
      <c r="D94" s="2">
        <v>45425</v>
      </c>
      <c r="E94" t="s">
        <v>725</v>
      </c>
      <c r="F94">
        <v>0</v>
      </c>
    </row>
    <row r="95" spans="1:6" x14ac:dyDescent="0.25">
      <c r="A95" t="s">
        <v>636</v>
      </c>
      <c r="B95" t="s">
        <v>637</v>
      </c>
      <c r="C95" s="2">
        <v>45653</v>
      </c>
      <c r="D95" s="2">
        <v>45654</v>
      </c>
      <c r="E95" t="s">
        <v>651</v>
      </c>
      <c r="F95">
        <v>9</v>
      </c>
    </row>
    <row r="96" spans="1:6" x14ac:dyDescent="0.25">
      <c r="A96" t="s">
        <v>636</v>
      </c>
      <c r="B96" t="s">
        <v>637</v>
      </c>
      <c r="C96" s="2">
        <v>45712</v>
      </c>
      <c r="D96" s="2">
        <v>45712</v>
      </c>
      <c r="E96" t="s">
        <v>726</v>
      </c>
      <c r="F96">
        <v>185</v>
      </c>
    </row>
    <row r="97" spans="1:6" x14ac:dyDescent="0.25">
      <c r="A97" t="s">
        <v>636</v>
      </c>
      <c r="B97" t="s">
        <v>637</v>
      </c>
      <c r="C97" s="2">
        <v>45734</v>
      </c>
      <c r="D97" s="2">
        <v>45734</v>
      </c>
      <c r="E97" t="s">
        <v>726</v>
      </c>
      <c r="F97">
        <v>65</v>
      </c>
    </row>
    <row r="98" spans="1:6" x14ac:dyDescent="0.25">
      <c r="A98" t="s">
        <v>636</v>
      </c>
      <c r="B98" t="s">
        <v>637</v>
      </c>
      <c r="C98" s="2">
        <v>45759</v>
      </c>
      <c r="D98" s="2">
        <v>45760</v>
      </c>
      <c r="E98" t="s">
        <v>663</v>
      </c>
      <c r="F98">
        <v>35</v>
      </c>
    </row>
    <row r="99" spans="1:6" x14ac:dyDescent="0.25">
      <c r="A99" t="s">
        <v>636</v>
      </c>
      <c r="B99" t="s">
        <v>637</v>
      </c>
      <c r="C99" s="2">
        <v>45800</v>
      </c>
      <c r="D99" s="2">
        <v>45801</v>
      </c>
      <c r="E99" t="s">
        <v>664</v>
      </c>
      <c r="F99">
        <v>10</v>
      </c>
    </row>
    <row r="100" spans="1:6" x14ac:dyDescent="0.25">
      <c r="A100" t="s">
        <v>636</v>
      </c>
      <c r="B100" t="s">
        <v>637</v>
      </c>
      <c r="C100" s="2">
        <v>45808</v>
      </c>
      <c r="D100" s="2">
        <v>45809</v>
      </c>
      <c r="E100" t="s">
        <v>665</v>
      </c>
      <c r="F100">
        <v>147</v>
      </c>
    </row>
    <row r="101" spans="1:6" x14ac:dyDescent="0.25">
      <c r="A101" t="s">
        <v>303</v>
      </c>
      <c r="B101" t="s">
        <v>304</v>
      </c>
      <c r="C101" s="2">
        <v>45590</v>
      </c>
      <c r="D101" s="2">
        <v>45591</v>
      </c>
      <c r="E101" t="s">
        <v>282</v>
      </c>
      <c r="F101">
        <v>370</v>
      </c>
    </row>
    <row r="102" spans="1:6" x14ac:dyDescent="0.25">
      <c r="A102" t="s">
        <v>303</v>
      </c>
      <c r="B102" t="s">
        <v>304</v>
      </c>
      <c r="C102" s="2">
        <v>45611</v>
      </c>
      <c r="D102" s="2">
        <v>45612</v>
      </c>
      <c r="E102" t="s">
        <v>305</v>
      </c>
      <c r="F102">
        <v>81</v>
      </c>
    </row>
    <row r="103" spans="1:6" x14ac:dyDescent="0.25">
      <c r="A103" t="s">
        <v>1624</v>
      </c>
      <c r="B103" t="s">
        <v>1764</v>
      </c>
      <c r="C103" s="1">
        <v>45611</v>
      </c>
      <c r="D103" s="1">
        <v>45613</v>
      </c>
      <c r="E103" t="s">
        <v>1906</v>
      </c>
      <c r="F103">
        <v>598</v>
      </c>
    </row>
    <row r="104" spans="1:6" x14ac:dyDescent="0.25">
      <c r="A104" t="s">
        <v>1624</v>
      </c>
      <c r="B104" t="s">
        <v>1764</v>
      </c>
      <c r="C104" s="1">
        <v>45618</v>
      </c>
      <c r="D104" s="1">
        <v>45619</v>
      </c>
      <c r="E104" t="s">
        <v>1907</v>
      </c>
      <c r="F104">
        <v>9</v>
      </c>
    </row>
    <row r="105" spans="1:6" x14ac:dyDescent="0.25">
      <c r="A105" t="s">
        <v>1624</v>
      </c>
      <c r="B105" t="s">
        <v>1764</v>
      </c>
      <c r="C105" s="1">
        <v>45724</v>
      </c>
      <c r="D105" s="1">
        <v>45725</v>
      </c>
      <c r="E105" t="s">
        <v>1908</v>
      </c>
      <c r="F105">
        <v>12</v>
      </c>
    </row>
    <row r="106" spans="1:6" x14ac:dyDescent="0.25">
      <c r="A106" t="s">
        <v>1624</v>
      </c>
      <c r="B106" t="s">
        <v>1764</v>
      </c>
      <c r="C106" s="2">
        <v>45751</v>
      </c>
      <c r="D106" s="2">
        <v>45752</v>
      </c>
      <c r="E106" t="s">
        <v>1909</v>
      </c>
      <c r="F106">
        <v>60</v>
      </c>
    </row>
    <row r="107" spans="1:6" x14ac:dyDescent="0.25">
      <c r="A107" t="s">
        <v>1921</v>
      </c>
      <c r="B107" t="s">
        <v>1722</v>
      </c>
      <c r="C107" s="2">
        <v>45094</v>
      </c>
      <c r="D107" s="2">
        <v>45095</v>
      </c>
      <c r="E107" t="s">
        <v>1922</v>
      </c>
      <c r="F107">
        <v>796</v>
      </c>
    </row>
    <row r="108" spans="1:6" x14ac:dyDescent="0.25">
      <c r="A108" t="s">
        <v>1931</v>
      </c>
      <c r="B108" t="s">
        <v>632</v>
      </c>
      <c r="C108" s="1">
        <v>45499</v>
      </c>
      <c r="D108" s="1">
        <v>45501</v>
      </c>
      <c r="E108" t="s">
        <v>1932</v>
      </c>
      <c r="F108">
        <v>2215</v>
      </c>
    </row>
    <row r="109" spans="1:6" x14ac:dyDescent="0.25">
      <c r="A109" t="s">
        <v>1931</v>
      </c>
      <c r="B109" t="s">
        <v>632</v>
      </c>
      <c r="C109" s="1">
        <v>45505</v>
      </c>
      <c r="D109" s="1">
        <v>45508</v>
      </c>
      <c r="E109" t="s">
        <v>1933</v>
      </c>
      <c r="F109">
        <v>1805</v>
      </c>
    </row>
    <row r="110" spans="1:6" x14ac:dyDescent="0.25">
      <c r="A110" t="s">
        <v>1745</v>
      </c>
      <c r="B110" t="s">
        <v>1991</v>
      </c>
      <c r="C110" s="2">
        <v>45450</v>
      </c>
      <c r="D110" s="2">
        <v>45452</v>
      </c>
      <c r="E110" t="s">
        <v>1992</v>
      </c>
      <c r="F110">
        <v>860</v>
      </c>
    </row>
    <row r="111" spans="1:6" x14ac:dyDescent="0.25">
      <c r="A111" t="s">
        <v>1745</v>
      </c>
      <c r="B111" t="s">
        <v>1991</v>
      </c>
      <c r="C111" s="2">
        <v>45457</v>
      </c>
      <c r="D111" s="2">
        <v>45459</v>
      </c>
      <c r="E111" t="s">
        <v>1993</v>
      </c>
      <c r="F111">
        <v>1000</v>
      </c>
    </row>
    <row r="112" spans="1:6" x14ac:dyDescent="0.25">
      <c r="A112" t="s">
        <v>1745</v>
      </c>
      <c r="B112" t="s">
        <v>1991</v>
      </c>
      <c r="C112" s="2">
        <v>45464</v>
      </c>
      <c r="D112" s="2">
        <v>45466</v>
      </c>
      <c r="E112" t="s">
        <v>1994</v>
      </c>
      <c r="F112">
        <v>1000</v>
      </c>
    </row>
    <row r="113" spans="1:6" x14ac:dyDescent="0.25">
      <c r="A113" t="s">
        <v>1745</v>
      </c>
      <c r="B113" t="s">
        <v>1991</v>
      </c>
      <c r="C113" s="2">
        <v>45478</v>
      </c>
      <c r="D113" s="2">
        <v>45480</v>
      </c>
      <c r="E113" t="s">
        <v>1995</v>
      </c>
      <c r="F113">
        <v>530</v>
      </c>
    </row>
    <row r="114" spans="1:6" x14ac:dyDescent="0.25">
      <c r="A114" t="s">
        <v>1745</v>
      </c>
      <c r="B114" t="s">
        <v>1991</v>
      </c>
      <c r="C114" s="2">
        <v>45515</v>
      </c>
      <c r="D114" s="2">
        <v>45519</v>
      </c>
      <c r="E114" t="s">
        <v>1996</v>
      </c>
      <c r="F114">
        <v>1044</v>
      </c>
    </row>
    <row r="115" spans="1:6" x14ac:dyDescent="0.25">
      <c r="A115" t="s">
        <v>2183</v>
      </c>
      <c r="B115" t="s">
        <v>1721</v>
      </c>
      <c r="C115" s="2">
        <v>45567</v>
      </c>
      <c r="D115" s="2">
        <v>45569</v>
      </c>
      <c r="E115" t="s">
        <v>2483</v>
      </c>
      <c r="F115">
        <v>10</v>
      </c>
    </row>
    <row r="116" spans="1:6" x14ac:dyDescent="0.25">
      <c r="A116" t="s">
        <v>2118</v>
      </c>
      <c r="B116" t="s">
        <v>2114</v>
      </c>
      <c r="C116" s="1">
        <v>45451</v>
      </c>
      <c r="D116" s="1">
        <v>45452</v>
      </c>
      <c r="E116" t="s">
        <v>2485</v>
      </c>
      <c r="F116">
        <v>150</v>
      </c>
    </row>
    <row r="117" spans="1:6" x14ac:dyDescent="0.25">
      <c r="A117" t="s">
        <v>2209</v>
      </c>
      <c r="B117" t="s">
        <v>2210</v>
      </c>
      <c r="C117" s="2">
        <v>45688</v>
      </c>
      <c r="D117" s="2">
        <v>45689</v>
      </c>
      <c r="E117" t="s">
        <v>2491</v>
      </c>
      <c r="F117">
        <v>350</v>
      </c>
    </row>
    <row r="118" spans="1:6" x14ac:dyDescent="0.25">
      <c r="A118" t="s">
        <v>2209</v>
      </c>
      <c r="B118" t="s">
        <v>2210</v>
      </c>
      <c r="C118" s="2">
        <v>45695</v>
      </c>
      <c r="D118" s="2">
        <v>45696</v>
      </c>
      <c r="E118" t="s">
        <v>2492</v>
      </c>
      <c r="F118">
        <v>1040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F5BF-A947-4510-A439-6E721D2987F8}">
  <dimension ref="A1:L611"/>
  <sheetViews>
    <sheetView workbookViewId="0">
      <pane ySplit="1" topLeftCell="A152" activePane="bottomLeft" state="frozen"/>
      <selection pane="bottomLeft" activeCell="E25" sqref="E25"/>
    </sheetView>
  </sheetViews>
  <sheetFormatPr defaultRowHeight="15" x14ac:dyDescent="0.25"/>
  <cols>
    <col min="3" max="3" width="9.85546875" customWidth="1"/>
    <col min="4" max="4" width="16.28515625" customWidth="1"/>
    <col min="5" max="5" width="18.5703125" bestFit="1" customWidth="1"/>
    <col min="6" max="6" width="18.5703125" customWidth="1"/>
    <col min="7" max="7" width="17.85546875" style="7" customWidth="1"/>
    <col min="8" max="8" width="18.140625" customWidth="1"/>
    <col min="9" max="9" width="38.28515625" bestFit="1" customWidth="1"/>
    <col min="10" max="10" width="10.5703125" customWidth="1"/>
    <col min="11" max="11" width="11.5703125" bestFit="1" customWidth="1"/>
    <col min="12" max="12" width="18" bestFit="1" customWidth="1"/>
  </cols>
  <sheetData>
    <row r="1" spans="1:12" x14ac:dyDescent="0.25">
      <c r="A1" t="s">
        <v>51</v>
      </c>
      <c r="B1" t="s">
        <v>50</v>
      </c>
      <c r="C1" t="s">
        <v>5</v>
      </c>
      <c r="D1" t="s">
        <v>0</v>
      </c>
      <c r="E1" t="s">
        <v>1</v>
      </c>
      <c r="F1" t="s">
        <v>2605</v>
      </c>
      <c r="G1" s="7" t="s">
        <v>2</v>
      </c>
      <c r="H1" t="s">
        <v>3</v>
      </c>
      <c r="I1" t="s">
        <v>4</v>
      </c>
      <c r="J1" t="s">
        <v>2604</v>
      </c>
      <c r="K1" t="s">
        <v>2602</v>
      </c>
      <c r="L1" t="s">
        <v>2606</v>
      </c>
    </row>
    <row r="2" spans="1:12" x14ac:dyDescent="0.25">
      <c r="A2" t="s">
        <v>244</v>
      </c>
      <c r="B2" t="s">
        <v>243</v>
      </c>
      <c r="C2">
        <v>15</v>
      </c>
      <c r="D2" t="s">
        <v>2607</v>
      </c>
      <c r="E2" t="s">
        <v>61</v>
      </c>
      <c r="F2" t="s">
        <v>1892</v>
      </c>
      <c r="G2" s="7">
        <v>44915</v>
      </c>
      <c r="H2" t="s">
        <v>228</v>
      </c>
      <c r="I2" t="s">
        <v>230</v>
      </c>
      <c r="J2" t="s">
        <v>8</v>
      </c>
      <c r="K2">
        <f>INDEX('LAB PRICES'!$C$2:$F$12, MATCH(tblLabs[[#This Row],[Code]], 'LAB PRICES'!$A$2:$A$12, 0), MATCH(tblLabs[[#This Row],[Facility]], 'LAB PRICES'!$C$1:$F$1, 0))</f>
        <v>16</v>
      </c>
      <c r="L2">
        <f>_xlfn.XLOOKUP(
    tblLabs[[#This Row],[Code]],
    'LAB PRICES'!$A$2:$A$12,
    'LAB PRICES'!$G$2:$G$12
)</f>
        <v>23</v>
      </c>
    </row>
    <row r="3" spans="1:12" x14ac:dyDescent="0.25">
      <c r="A3" t="s">
        <v>244</v>
      </c>
      <c r="B3" t="s">
        <v>243</v>
      </c>
      <c r="C3">
        <v>39</v>
      </c>
      <c r="D3" t="s">
        <v>2580</v>
      </c>
      <c r="E3" t="s">
        <v>466</v>
      </c>
      <c r="F3" t="s">
        <v>1893</v>
      </c>
      <c r="G3" s="7">
        <v>44915</v>
      </c>
      <c r="H3" t="s">
        <v>228</v>
      </c>
      <c r="I3" t="s">
        <v>230</v>
      </c>
      <c r="J3" t="s">
        <v>8</v>
      </c>
      <c r="K3">
        <f>INDEX('LAB PRICES'!$C$2:$F$12, MATCH(tblLabs[[#This Row],[Code]], 'LAB PRICES'!$A$2:$A$12, 0), MATCH(tblLabs[[#This Row],[Facility]], 'LAB PRICES'!$C$1:$F$1, 0))</f>
        <v>6</v>
      </c>
      <c r="L3">
        <f>_xlfn.XLOOKUP(
    tblLabs[[#This Row],[Code]],
    'LAB PRICES'!$A$2:$A$12,
    'LAB PRICES'!$G$2:$G$12
)</f>
        <v>40</v>
      </c>
    </row>
    <row r="4" spans="1:12" x14ac:dyDescent="0.25">
      <c r="A4" t="s">
        <v>244</v>
      </c>
      <c r="B4" t="s">
        <v>243</v>
      </c>
      <c r="C4">
        <v>39</v>
      </c>
      <c r="D4" t="s">
        <v>2591</v>
      </c>
      <c r="E4" t="s">
        <v>467</v>
      </c>
      <c r="F4" t="s">
        <v>1894</v>
      </c>
      <c r="G4" s="7">
        <v>44915</v>
      </c>
      <c r="H4" t="s">
        <v>228</v>
      </c>
      <c r="I4" t="s">
        <v>230</v>
      </c>
      <c r="J4" t="s">
        <v>8</v>
      </c>
      <c r="K4">
        <f>INDEX('LAB PRICES'!$C$2:$F$12, MATCH(tblLabs[[#This Row],[Code]], 'LAB PRICES'!$A$2:$A$12, 0), MATCH(tblLabs[[#This Row],[Facility]], 'LAB PRICES'!$C$1:$F$1, 0))</f>
        <v>26</v>
      </c>
      <c r="L4">
        <f>_xlfn.XLOOKUP(
    tblLabs[[#This Row],[Code]],
    'LAB PRICES'!$A$2:$A$12,
    'LAB PRICES'!$G$2:$G$12
)</f>
        <v>70</v>
      </c>
    </row>
    <row r="5" spans="1:12" x14ac:dyDescent="0.25">
      <c r="A5" t="s">
        <v>244</v>
      </c>
      <c r="B5" t="s">
        <v>243</v>
      </c>
      <c r="C5">
        <v>15</v>
      </c>
      <c r="D5" t="s">
        <v>635</v>
      </c>
      <c r="E5" t="s">
        <v>227</v>
      </c>
      <c r="F5" t="s">
        <v>1899</v>
      </c>
      <c r="G5" s="7">
        <v>44915</v>
      </c>
      <c r="H5" t="s">
        <v>228</v>
      </c>
      <c r="I5" t="s">
        <v>230</v>
      </c>
      <c r="J5" t="s">
        <v>229</v>
      </c>
      <c r="K5">
        <f>INDEX('LAB PRICES'!$C$2:$F$12, MATCH(tblLabs[[#This Row],[Code]], 'LAB PRICES'!$A$2:$A$12, 0), MATCH(tblLabs[[#This Row],[Facility]], 'LAB PRICES'!$C$1:$F$1, 0))</f>
        <v>80</v>
      </c>
      <c r="L5">
        <f>_xlfn.XLOOKUP(
    tblLabs[[#This Row],[Code]],
    'LAB PRICES'!$A$2:$A$12,
    'LAB PRICES'!$G$2:$G$12
)</f>
        <v>140</v>
      </c>
    </row>
    <row r="6" spans="1:12" x14ac:dyDescent="0.25">
      <c r="A6" t="s">
        <v>244</v>
      </c>
      <c r="B6" t="s">
        <v>243</v>
      </c>
      <c r="C6">
        <v>12</v>
      </c>
      <c r="D6" t="s">
        <v>231</v>
      </c>
      <c r="E6" t="s">
        <v>1878</v>
      </c>
      <c r="F6" t="s">
        <v>1889</v>
      </c>
      <c r="G6" s="7">
        <v>45106</v>
      </c>
      <c r="H6" t="s">
        <v>71</v>
      </c>
      <c r="I6" t="s">
        <v>232</v>
      </c>
      <c r="J6" t="s">
        <v>8</v>
      </c>
      <c r="K6">
        <f>INDEX('LAB PRICES'!$C$2:$F$12, MATCH(tblLabs[[#This Row],[Code]], 'LAB PRICES'!$A$2:$A$12, 0), MATCH(tblLabs[[#This Row],[Facility]], 'LAB PRICES'!$C$1:$F$1, 0))</f>
        <v>6</v>
      </c>
      <c r="L6">
        <f>_xlfn.XLOOKUP(
    tblLabs[[#This Row],[Code]],
    'LAB PRICES'!$A$2:$A$12,
    'LAB PRICES'!$G$2:$G$12
)</f>
        <v>23</v>
      </c>
    </row>
    <row r="7" spans="1:12" x14ac:dyDescent="0.25">
      <c r="A7" t="s">
        <v>244</v>
      </c>
      <c r="B7" t="s">
        <v>243</v>
      </c>
      <c r="C7">
        <v>5</v>
      </c>
      <c r="D7" t="s">
        <v>238</v>
      </c>
      <c r="E7" t="s">
        <v>14</v>
      </c>
      <c r="F7" t="s">
        <v>1891</v>
      </c>
      <c r="G7" s="7">
        <v>45110</v>
      </c>
      <c r="H7" t="s">
        <v>71</v>
      </c>
      <c r="I7" t="s">
        <v>232</v>
      </c>
      <c r="J7" t="s">
        <v>8</v>
      </c>
      <c r="K7">
        <f>INDEX('LAB PRICES'!$C$2:$F$12, MATCH(tblLabs[[#This Row],[Code]], 'LAB PRICES'!$A$2:$A$12, 0), MATCH(tblLabs[[#This Row],[Facility]], 'LAB PRICES'!$C$1:$F$1, 0))</f>
        <v>40</v>
      </c>
      <c r="L7">
        <f>_xlfn.XLOOKUP(
    tblLabs[[#This Row],[Code]],
    'LAB PRICES'!$A$2:$A$12,
    'LAB PRICES'!$G$2:$G$12
)</f>
        <v>100</v>
      </c>
    </row>
    <row r="8" spans="1:12" x14ac:dyDescent="0.25">
      <c r="A8" t="s">
        <v>244</v>
      </c>
      <c r="B8" t="s">
        <v>243</v>
      </c>
      <c r="C8">
        <v>8</v>
      </c>
      <c r="D8" t="s">
        <v>234</v>
      </c>
      <c r="E8" t="s">
        <v>1878</v>
      </c>
      <c r="F8" t="s">
        <v>1889</v>
      </c>
      <c r="G8" s="7">
        <v>45107</v>
      </c>
      <c r="H8" t="s">
        <v>71</v>
      </c>
      <c r="I8" t="s">
        <v>232</v>
      </c>
      <c r="J8" t="s">
        <v>8</v>
      </c>
      <c r="K8">
        <f>INDEX('LAB PRICES'!$C$2:$F$12, MATCH(tblLabs[[#This Row],[Code]], 'LAB PRICES'!$A$2:$A$12, 0), MATCH(tblLabs[[#This Row],[Facility]], 'LAB PRICES'!$C$1:$F$1, 0))</f>
        <v>6</v>
      </c>
      <c r="L8">
        <f>_xlfn.XLOOKUP(
    tblLabs[[#This Row],[Code]],
    'LAB PRICES'!$A$2:$A$12,
    'LAB PRICES'!$G$2:$G$12
)</f>
        <v>23</v>
      </c>
    </row>
    <row r="9" spans="1:12" x14ac:dyDescent="0.25">
      <c r="A9" t="s">
        <v>244</v>
      </c>
      <c r="B9" t="s">
        <v>243</v>
      </c>
      <c r="C9">
        <v>12</v>
      </c>
      <c r="D9" t="s">
        <v>233</v>
      </c>
      <c r="E9" t="s">
        <v>1878</v>
      </c>
      <c r="F9" t="s">
        <v>1889</v>
      </c>
      <c r="G9" s="7">
        <v>45107</v>
      </c>
      <c r="H9" t="s">
        <v>71</v>
      </c>
      <c r="I9" t="s">
        <v>232</v>
      </c>
      <c r="J9" t="s">
        <v>8</v>
      </c>
      <c r="K9">
        <f>INDEX('LAB PRICES'!$C$2:$F$12, MATCH(tblLabs[[#This Row],[Code]], 'LAB PRICES'!$A$2:$A$12, 0), MATCH(tblLabs[[#This Row],[Facility]], 'LAB PRICES'!$C$1:$F$1, 0))</f>
        <v>6</v>
      </c>
      <c r="L9">
        <f>_xlfn.XLOOKUP(
    tblLabs[[#This Row],[Code]],
    'LAB PRICES'!$A$2:$A$12,
    'LAB PRICES'!$G$2:$G$12
)</f>
        <v>23</v>
      </c>
    </row>
    <row r="10" spans="1:12" x14ac:dyDescent="0.25">
      <c r="A10" t="s">
        <v>244</v>
      </c>
      <c r="B10" t="s">
        <v>243</v>
      </c>
      <c r="C10">
        <v>34</v>
      </c>
      <c r="D10" t="s">
        <v>235</v>
      </c>
      <c r="E10" t="s">
        <v>1878</v>
      </c>
      <c r="F10" t="s">
        <v>1889</v>
      </c>
      <c r="G10" s="7">
        <v>45108</v>
      </c>
      <c r="H10" t="s">
        <v>71</v>
      </c>
      <c r="I10" t="s">
        <v>232</v>
      </c>
      <c r="J10" t="s">
        <v>8</v>
      </c>
      <c r="K10">
        <f>INDEX('LAB PRICES'!$C$2:$F$12, MATCH(tblLabs[[#This Row],[Code]], 'LAB PRICES'!$A$2:$A$12, 0), MATCH(tblLabs[[#This Row],[Facility]], 'LAB PRICES'!$C$1:$F$1, 0))</f>
        <v>6</v>
      </c>
      <c r="L10">
        <f>_xlfn.XLOOKUP(
    tblLabs[[#This Row],[Code]],
    'LAB PRICES'!$A$2:$A$12,
    'LAB PRICES'!$G$2:$G$12
)</f>
        <v>23</v>
      </c>
    </row>
    <row r="11" spans="1:12" x14ac:dyDescent="0.25">
      <c r="A11" t="s">
        <v>244</v>
      </c>
      <c r="B11" t="s">
        <v>243</v>
      </c>
      <c r="C11">
        <v>12</v>
      </c>
      <c r="D11" t="s">
        <v>236</v>
      </c>
      <c r="E11" t="s">
        <v>237</v>
      </c>
      <c r="F11" t="s">
        <v>1890</v>
      </c>
      <c r="G11" s="7">
        <v>45110</v>
      </c>
      <c r="H11" t="s">
        <v>71</v>
      </c>
      <c r="I11" t="s">
        <v>232</v>
      </c>
      <c r="J11" t="s">
        <v>8</v>
      </c>
      <c r="K11">
        <f>INDEX('LAB PRICES'!$C$2:$F$12, MATCH(tblLabs[[#This Row],[Code]], 'LAB PRICES'!$A$2:$A$12, 0), MATCH(tblLabs[[#This Row],[Facility]], 'LAB PRICES'!$C$1:$F$1, 0))</f>
        <v>6</v>
      </c>
      <c r="L11">
        <f>_xlfn.XLOOKUP(
    tblLabs[[#This Row],[Code]],
    'LAB PRICES'!$A$2:$A$12,
    'LAB PRICES'!$G$2:$G$12
)</f>
        <v>27</v>
      </c>
    </row>
    <row r="12" spans="1:12" x14ac:dyDescent="0.25">
      <c r="A12" t="s">
        <v>244</v>
      </c>
      <c r="B12" t="s">
        <v>243</v>
      </c>
      <c r="C12">
        <v>7</v>
      </c>
      <c r="D12" t="s">
        <v>239</v>
      </c>
      <c r="E12" t="s">
        <v>1806</v>
      </c>
      <c r="F12" t="s">
        <v>1890</v>
      </c>
      <c r="G12" s="7">
        <v>45270</v>
      </c>
      <c r="H12" t="s">
        <v>136</v>
      </c>
      <c r="I12" t="s">
        <v>240</v>
      </c>
      <c r="J12" t="s">
        <v>26</v>
      </c>
      <c r="K12">
        <f>INDEX('LAB PRICES'!$C$2:$F$12, MATCH(tblLabs[[#This Row],[Code]], 'LAB PRICES'!$A$2:$A$12, 0), MATCH(tblLabs[[#This Row],[Facility]], 'LAB PRICES'!$C$1:$F$1, 0))</f>
        <v>5</v>
      </c>
      <c r="L12">
        <f>_xlfn.XLOOKUP(
    tblLabs[[#This Row],[Code]],
    'LAB PRICES'!$A$2:$A$12,
    'LAB PRICES'!$G$2:$G$12
)</f>
        <v>27</v>
      </c>
    </row>
    <row r="13" spans="1:12" x14ac:dyDescent="0.25">
      <c r="A13" t="s">
        <v>244</v>
      </c>
      <c r="B13" t="s">
        <v>243</v>
      </c>
      <c r="C13">
        <v>14</v>
      </c>
      <c r="D13" t="s">
        <v>241</v>
      </c>
      <c r="E13" t="s">
        <v>1806</v>
      </c>
      <c r="F13" t="s">
        <v>1890</v>
      </c>
      <c r="G13" s="7">
        <v>45325</v>
      </c>
      <c r="H13" t="s">
        <v>7</v>
      </c>
      <c r="I13" t="s">
        <v>242</v>
      </c>
      <c r="J13" t="s">
        <v>8</v>
      </c>
      <c r="K13">
        <f>INDEX('LAB PRICES'!$C$2:$F$12, MATCH(tblLabs[[#This Row],[Code]], 'LAB PRICES'!$A$2:$A$12, 0), MATCH(tblLabs[[#This Row],[Facility]], 'LAB PRICES'!$C$1:$F$1, 0))</f>
        <v>6</v>
      </c>
      <c r="L13">
        <f>_xlfn.XLOOKUP(
    tblLabs[[#This Row],[Code]],
    'LAB PRICES'!$A$2:$A$12,
    'LAB PRICES'!$G$2:$G$12
)</f>
        <v>27</v>
      </c>
    </row>
    <row r="14" spans="1:12" x14ac:dyDescent="0.25">
      <c r="A14" t="s">
        <v>435</v>
      </c>
      <c r="B14" t="s">
        <v>436</v>
      </c>
      <c r="C14">
        <v>6</v>
      </c>
      <c r="D14" t="s">
        <v>2566</v>
      </c>
      <c r="E14" t="s">
        <v>61</v>
      </c>
      <c r="F14" t="s">
        <v>1892</v>
      </c>
      <c r="G14" s="7">
        <v>44872</v>
      </c>
      <c r="H14" t="s">
        <v>142</v>
      </c>
      <c r="I14" t="s">
        <v>1860</v>
      </c>
      <c r="J14" t="s">
        <v>8</v>
      </c>
      <c r="K14">
        <f>INDEX('LAB PRICES'!$C$2:$F$12, MATCH(tblLabs[[#This Row],[Code]], 'LAB PRICES'!$A$2:$A$12, 0), MATCH(tblLabs[[#This Row],[Facility]], 'LAB PRICES'!$C$1:$F$1, 0))</f>
        <v>16</v>
      </c>
      <c r="L14">
        <f>_xlfn.XLOOKUP(
    tblLabs[[#This Row],[Code]],
    'LAB PRICES'!$A$2:$A$12,
    'LAB PRICES'!$G$2:$G$12
)</f>
        <v>23</v>
      </c>
    </row>
    <row r="15" spans="1:12" x14ac:dyDescent="0.25">
      <c r="A15" t="s">
        <v>435</v>
      </c>
      <c r="B15" t="s">
        <v>436</v>
      </c>
      <c r="C15">
        <v>9</v>
      </c>
      <c r="D15" t="s">
        <v>2581</v>
      </c>
      <c r="E15" t="s">
        <v>466</v>
      </c>
      <c r="F15" t="s">
        <v>1893</v>
      </c>
      <c r="G15" s="7">
        <v>44872</v>
      </c>
      <c r="H15" t="s">
        <v>142</v>
      </c>
      <c r="I15" t="s">
        <v>1860</v>
      </c>
      <c r="J15" t="s">
        <v>8</v>
      </c>
      <c r="K15">
        <f>INDEX('LAB PRICES'!$C$2:$F$12, MATCH(tblLabs[[#This Row],[Code]], 'LAB PRICES'!$A$2:$A$12, 0), MATCH(tblLabs[[#This Row],[Facility]], 'LAB PRICES'!$C$1:$F$1, 0))</f>
        <v>6</v>
      </c>
      <c r="L15">
        <f>_xlfn.XLOOKUP(
    tblLabs[[#This Row],[Code]],
    'LAB PRICES'!$A$2:$A$12,
    'LAB PRICES'!$G$2:$G$12
)</f>
        <v>40</v>
      </c>
    </row>
    <row r="16" spans="1:12" x14ac:dyDescent="0.25">
      <c r="A16" t="s">
        <v>435</v>
      </c>
      <c r="B16" t="s">
        <v>436</v>
      </c>
      <c r="C16">
        <v>6</v>
      </c>
      <c r="D16" t="s">
        <v>2592</v>
      </c>
      <c r="E16" t="s">
        <v>467</v>
      </c>
      <c r="F16" t="s">
        <v>1894</v>
      </c>
      <c r="G16" s="7">
        <v>44872</v>
      </c>
      <c r="H16" t="s">
        <v>142</v>
      </c>
      <c r="I16" t="s">
        <v>1860</v>
      </c>
      <c r="J16" t="s">
        <v>8</v>
      </c>
      <c r="K16">
        <f>INDEX('LAB PRICES'!$C$2:$F$12, MATCH(tblLabs[[#This Row],[Code]], 'LAB PRICES'!$A$2:$A$12, 0), MATCH(tblLabs[[#This Row],[Facility]], 'LAB PRICES'!$C$1:$F$1, 0))</f>
        <v>26</v>
      </c>
      <c r="L16">
        <f>_xlfn.XLOOKUP(
    tblLabs[[#This Row],[Code]],
    'LAB PRICES'!$A$2:$A$12,
    'LAB PRICES'!$G$2:$G$12
)</f>
        <v>70</v>
      </c>
    </row>
    <row r="17" spans="1:12" x14ac:dyDescent="0.25">
      <c r="A17" t="s">
        <v>435</v>
      </c>
      <c r="B17" t="s">
        <v>436</v>
      </c>
      <c r="C17">
        <v>12</v>
      </c>
      <c r="D17" t="s">
        <v>1010</v>
      </c>
      <c r="E17" t="s">
        <v>1878</v>
      </c>
      <c r="F17" t="s">
        <v>1889</v>
      </c>
      <c r="G17" s="7">
        <v>45139</v>
      </c>
      <c r="H17" t="s">
        <v>25</v>
      </c>
      <c r="I17" t="s">
        <v>1863</v>
      </c>
      <c r="J17" t="s">
        <v>26</v>
      </c>
      <c r="K17">
        <f>INDEX('LAB PRICES'!$C$2:$F$12, MATCH(tblLabs[[#This Row],[Code]], 'LAB PRICES'!$A$2:$A$12, 0), MATCH(tblLabs[[#This Row],[Facility]], 'LAB PRICES'!$C$1:$F$1, 0))</f>
        <v>5</v>
      </c>
      <c r="L17">
        <f>_xlfn.XLOOKUP(
    tblLabs[[#This Row],[Code]],
    'LAB PRICES'!$A$2:$A$12,
    'LAB PRICES'!$G$2:$G$12
)</f>
        <v>23</v>
      </c>
    </row>
    <row r="18" spans="1:12" x14ac:dyDescent="0.25">
      <c r="A18" t="s">
        <v>435</v>
      </c>
      <c r="B18" t="s">
        <v>436</v>
      </c>
      <c r="C18">
        <v>12</v>
      </c>
      <c r="D18" t="s">
        <v>1012</v>
      </c>
      <c r="E18" t="s">
        <v>1878</v>
      </c>
      <c r="F18" t="s">
        <v>1889</v>
      </c>
      <c r="G18" s="7">
        <v>45139</v>
      </c>
      <c r="H18" t="s">
        <v>11</v>
      </c>
      <c r="I18" t="s">
        <v>1861</v>
      </c>
      <c r="J18" t="s">
        <v>26</v>
      </c>
      <c r="K18">
        <f>INDEX('LAB PRICES'!$C$2:$F$12, MATCH(tblLabs[[#This Row],[Code]], 'LAB PRICES'!$A$2:$A$12, 0), MATCH(tblLabs[[#This Row],[Facility]], 'LAB PRICES'!$C$1:$F$1, 0))</f>
        <v>5</v>
      </c>
      <c r="L18">
        <f>_xlfn.XLOOKUP(
    tblLabs[[#This Row],[Code]],
    'LAB PRICES'!$A$2:$A$12,
    'LAB PRICES'!$G$2:$G$12
)</f>
        <v>23</v>
      </c>
    </row>
    <row r="19" spans="1:12" x14ac:dyDescent="0.25">
      <c r="A19" t="s">
        <v>435</v>
      </c>
      <c r="B19" t="s">
        <v>436</v>
      </c>
      <c r="C19">
        <v>12</v>
      </c>
      <c r="D19" t="s">
        <v>1013</v>
      </c>
      <c r="E19" t="s">
        <v>1878</v>
      </c>
      <c r="F19" t="s">
        <v>1889</v>
      </c>
      <c r="G19" s="7">
        <v>45139</v>
      </c>
      <c r="H19" t="s">
        <v>11</v>
      </c>
      <c r="I19" t="s">
        <v>1862</v>
      </c>
      <c r="J19" t="s">
        <v>26</v>
      </c>
      <c r="K19">
        <f>INDEX('LAB PRICES'!$C$2:$F$12, MATCH(tblLabs[[#This Row],[Code]], 'LAB PRICES'!$A$2:$A$12, 0), MATCH(tblLabs[[#This Row],[Facility]], 'LAB PRICES'!$C$1:$F$1, 0))</f>
        <v>5</v>
      </c>
      <c r="L19">
        <f>_xlfn.XLOOKUP(
    tblLabs[[#This Row],[Code]],
    'LAB PRICES'!$A$2:$A$12,
    'LAB PRICES'!$G$2:$G$12
)</f>
        <v>23</v>
      </c>
    </row>
    <row r="20" spans="1:12" x14ac:dyDescent="0.25">
      <c r="A20" t="s">
        <v>435</v>
      </c>
      <c r="B20" t="s">
        <v>436</v>
      </c>
      <c r="C20">
        <v>4</v>
      </c>
      <c r="D20" t="s">
        <v>1021</v>
      </c>
      <c r="E20" t="s">
        <v>14</v>
      </c>
      <c r="F20" t="s">
        <v>1891</v>
      </c>
      <c r="G20" s="7">
        <v>45142</v>
      </c>
      <c r="H20" t="s">
        <v>11</v>
      </c>
      <c r="I20" t="s">
        <v>1862</v>
      </c>
      <c r="J20" t="s">
        <v>26</v>
      </c>
      <c r="K20">
        <f>INDEX('LAB PRICES'!$C$2:$F$12, MATCH(tblLabs[[#This Row],[Code]], 'LAB PRICES'!$A$2:$A$12, 0), MATCH(tblLabs[[#This Row],[Facility]], 'LAB PRICES'!$C$1:$F$1, 0))</f>
        <v>30</v>
      </c>
      <c r="L20">
        <f>_xlfn.XLOOKUP(
    tblLabs[[#This Row],[Code]],
    'LAB PRICES'!$A$2:$A$12,
    'LAB PRICES'!$G$2:$G$12
)</f>
        <v>100</v>
      </c>
    </row>
    <row r="21" spans="1:12" x14ac:dyDescent="0.25">
      <c r="A21" t="s">
        <v>435</v>
      </c>
      <c r="B21" t="s">
        <v>436</v>
      </c>
      <c r="C21">
        <v>12</v>
      </c>
      <c r="D21" t="s">
        <v>1022</v>
      </c>
      <c r="E21" t="s">
        <v>237</v>
      </c>
      <c r="F21" t="s">
        <v>1890</v>
      </c>
      <c r="G21" s="7">
        <v>45142</v>
      </c>
      <c r="H21" t="s">
        <v>11</v>
      </c>
      <c r="I21" t="s">
        <v>1861</v>
      </c>
      <c r="J21" t="s">
        <v>26</v>
      </c>
      <c r="K21">
        <f>INDEX('LAB PRICES'!$C$2:$F$12, MATCH(tblLabs[[#This Row],[Code]], 'LAB PRICES'!$A$2:$A$12, 0), MATCH(tblLabs[[#This Row],[Facility]], 'LAB PRICES'!$C$1:$F$1, 0))</f>
        <v>5</v>
      </c>
      <c r="L21">
        <f>_xlfn.XLOOKUP(
    tblLabs[[#This Row],[Code]],
    'LAB PRICES'!$A$2:$A$12,
    'LAB PRICES'!$G$2:$G$12
)</f>
        <v>27</v>
      </c>
    </row>
    <row r="22" spans="1:12" x14ac:dyDescent="0.25">
      <c r="A22" t="s">
        <v>435</v>
      </c>
      <c r="B22" t="s">
        <v>436</v>
      </c>
      <c r="C22">
        <v>12</v>
      </c>
      <c r="D22" t="s">
        <v>1024</v>
      </c>
      <c r="E22" t="s">
        <v>237</v>
      </c>
      <c r="F22" t="s">
        <v>1890</v>
      </c>
      <c r="G22" s="7">
        <v>45142</v>
      </c>
      <c r="H22" t="s">
        <v>11</v>
      </c>
      <c r="I22" t="s">
        <v>1862</v>
      </c>
      <c r="J22" t="s">
        <v>26</v>
      </c>
      <c r="K22">
        <f>INDEX('LAB PRICES'!$C$2:$F$12, MATCH(tblLabs[[#This Row],[Code]], 'LAB PRICES'!$A$2:$A$12, 0), MATCH(tblLabs[[#This Row],[Facility]], 'LAB PRICES'!$C$1:$F$1, 0))</f>
        <v>5</v>
      </c>
      <c r="L22">
        <f>_xlfn.XLOOKUP(
    tblLabs[[#This Row],[Code]],
    'LAB PRICES'!$A$2:$A$12,
    'LAB PRICES'!$G$2:$G$12
)</f>
        <v>27</v>
      </c>
    </row>
    <row r="23" spans="1:12" x14ac:dyDescent="0.25">
      <c r="A23" t="s">
        <v>435</v>
      </c>
      <c r="B23" t="s">
        <v>436</v>
      </c>
      <c r="C23">
        <v>14</v>
      </c>
      <c r="D23" t="s">
        <v>1014</v>
      </c>
      <c r="E23" t="s">
        <v>1878</v>
      </c>
      <c r="F23" t="s">
        <v>1889</v>
      </c>
      <c r="G23" s="7">
        <v>45141</v>
      </c>
      <c r="H23" t="s">
        <v>11</v>
      </c>
      <c r="I23" t="s">
        <v>1864</v>
      </c>
      <c r="J23" t="s">
        <v>26</v>
      </c>
      <c r="K23">
        <f>INDEX('LAB PRICES'!$C$2:$F$12, MATCH(tblLabs[[#This Row],[Code]], 'LAB PRICES'!$A$2:$A$12, 0), MATCH(tblLabs[[#This Row],[Facility]], 'LAB PRICES'!$C$1:$F$1, 0))</f>
        <v>5</v>
      </c>
      <c r="L23">
        <f>_xlfn.XLOOKUP(
    tblLabs[[#This Row],[Code]],
    'LAB PRICES'!$A$2:$A$12,
    'LAB PRICES'!$G$2:$G$12
)</f>
        <v>23</v>
      </c>
    </row>
    <row r="24" spans="1:12" x14ac:dyDescent="0.25">
      <c r="A24" t="s">
        <v>435</v>
      </c>
      <c r="B24" t="s">
        <v>436</v>
      </c>
      <c r="C24">
        <v>8</v>
      </c>
      <c r="D24" t="s">
        <v>1015</v>
      </c>
      <c r="E24" t="s">
        <v>1878</v>
      </c>
      <c r="F24" t="s">
        <v>1889</v>
      </c>
      <c r="G24" s="7">
        <v>45141</v>
      </c>
      <c r="H24" t="s">
        <v>62</v>
      </c>
      <c r="I24" t="s">
        <v>1863</v>
      </c>
      <c r="J24" t="s">
        <v>26</v>
      </c>
      <c r="K24">
        <f>INDEX('LAB PRICES'!$C$2:$F$12, MATCH(tblLabs[[#This Row],[Code]], 'LAB PRICES'!$A$2:$A$12, 0), MATCH(tblLabs[[#This Row],[Facility]], 'LAB PRICES'!$C$1:$F$1, 0))</f>
        <v>5</v>
      </c>
      <c r="L24">
        <f>_xlfn.XLOOKUP(
    tblLabs[[#This Row],[Code]],
    'LAB PRICES'!$A$2:$A$12,
    'LAB PRICES'!$G$2:$G$12
)</f>
        <v>23</v>
      </c>
    </row>
    <row r="25" spans="1:12" x14ac:dyDescent="0.25">
      <c r="A25" t="s">
        <v>435</v>
      </c>
      <c r="B25" t="s">
        <v>436</v>
      </c>
      <c r="C25">
        <v>8</v>
      </c>
      <c r="D25" t="s">
        <v>1016</v>
      </c>
      <c r="E25" t="s">
        <v>1878</v>
      </c>
      <c r="F25" t="s">
        <v>1889</v>
      </c>
      <c r="G25" s="7">
        <v>45141</v>
      </c>
      <c r="H25" t="s">
        <v>62</v>
      </c>
      <c r="I25" t="s">
        <v>1863</v>
      </c>
      <c r="J25" t="s">
        <v>26</v>
      </c>
      <c r="K25">
        <f>INDEX('LAB PRICES'!$C$2:$F$12, MATCH(tblLabs[[#This Row],[Code]], 'LAB PRICES'!$A$2:$A$12, 0), MATCH(tblLabs[[#This Row],[Facility]], 'LAB PRICES'!$C$1:$F$1, 0))</f>
        <v>5</v>
      </c>
      <c r="L25">
        <f>_xlfn.XLOOKUP(
    tblLabs[[#This Row],[Code]],
    'LAB PRICES'!$A$2:$A$12,
    'LAB PRICES'!$G$2:$G$12
)</f>
        <v>23</v>
      </c>
    </row>
    <row r="26" spans="1:12" x14ac:dyDescent="0.25">
      <c r="A26" t="s">
        <v>435</v>
      </c>
      <c r="B26" t="s">
        <v>436</v>
      </c>
      <c r="C26">
        <v>14</v>
      </c>
      <c r="D26" t="s">
        <v>1017</v>
      </c>
      <c r="E26" t="s">
        <v>1878</v>
      </c>
      <c r="F26" t="s">
        <v>1889</v>
      </c>
      <c r="G26" s="7">
        <v>45141</v>
      </c>
      <c r="H26" t="s">
        <v>11</v>
      </c>
      <c r="I26" t="s">
        <v>1864</v>
      </c>
      <c r="J26" t="s">
        <v>26</v>
      </c>
      <c r="K26">
        <f>INDEX('LAB PRICES'!$C$2:$F$12, MATCH(tblLabs[[#This Row],[Code]], 'LAB PRICES'!$A$2:$A$12, 0), MATCH(tblLabs[[#This Row],[Facility]], 'LAB PRICES'!$C$1:$F$1, 0))</f>
        <v>5</v>
      </c>
      <c r="L26">
        <f>_xlfn.XLOOKUP(
    tblLabs[[#This Row],[Code]],
    'LAB PRICES'!$A$2:$A$12,
    'LAB PRICES'!$G$2:$G$12
)</f>
        <v>23</v>
      </c>
    </row>
    <row r="27" spans="1:12" x14ac:dyDescent="0.25">
      <c r="A27" t="s">
        <v>435</v>
      </c>
      <c r="B27" t="s">
        <v>436</v>
      </c>
      <c r="C27">
        <v>4</v>
      </c>
      <c r="D27" t="s">
        <v>1018</v>
      </c>
      <c r="E27" t="s">
        <v>14</v>
      </c>
      <c r="F27" t="s">
        <v>1891</v>
      </c>
      <c r="G27" s="7">
        <v>45142</v>
      </c>
      <c r="H27" t="s">
        <v>62</v>
      </c>
      <c r="I27" t="s">
        <v>1863</v>
      </c>
      <c r="J27" t="s">
        <v>26</v>
      </c>
      <c r="K27">
        <f>INDEX('LAB PRICES'!$C$2:$F$12, MATCH(tblLabs[[#This Row],[Code]], 'LAB PRICES'!$A$2:$A$12, 0), MATCH(tblLabs[[#This Row],[Facility]], 'LAB PRICES'!$C$1:$F$1, 0))</f>
        <v>30</v>
      </c>
      <c r="L27">
        <f>_xlfn.XLOOKUP(
    tblLabs[[#This Row],[Code]],
    'LAB PRICES'!$A$2:$A$12,
    'LAB PRICES'!$G$2:$G$12
)</f>
        <v>100</v>
      </c>
    </row>
    <row r="28" spans="1:12" x14ac:dyDescent="0.25">
      <c r="A28" t="s">
        <v>435</v>
      </c>
      <c r="B28" t="s">
        <v>436</v>
      </c>
      <c r="C28">
        <v>12</v>
      </c>
      <c r="D28" t="s">
        <v>1019</v>
      </c>
      <c r="E28" t="s">
        <v>237</v>
      </c>
      <c r="F28" t="s">
        <v>1890</v>
      </c>
      <c r="G28" s="7">
        <v>45142</v>
      </c>
      <c r="H28" t="s">
        <v>62</v>
      </c>
      <c r="I28" t="s">
        <v>1863</v>
      </c>
      <c r="J28" t="s">
        <v>26</v>
      </c>
      <c r="K28">
        <f>INDEX('LAB PRICES'!$C$2:$F$12, MATCH(tblLabs[[#This Row],[Code]], 'LAB PRICES'!$A$2:$A$12, 0), MATCH(tblLabs[[#This Row],[Facility]], 'LAB PRICES'!$C$1:$F$1, 0))</f>
        <v>5</v>
      </c>
      <c r="L28">
        <f>_xlfn.XLOOKUP(
    tblLabs[[#This Row],[Code]],
    'LAB PRICES'!$A$2:$A$12,
    'LAB PRICES'!$G$2:$G$12
)</f>
        <v>27</v>
      </c>
    </row>
    <row r="29" spans="1:12" x14ac:dyDescent="0.25">
      <c r="A29" t="s">
        <v>435</v>
      </c>
      <c r="B29" t="s">
        <v>436</v>
      </c>
      <c r="C29">
        <v>4</v>
      </c>
      <c r="D29" t="s">
        <v>1020</v>
      </c>
      <c r="E29" t="s">
        <v>14</v>
      </c>
      <c r="F29" t="s">
        <v>1891</v>
      </c>
      <c r="G29" s="7">
        <v>45142</v>
      </c>
      <c r="H29" t="s">
        <v>62</v>
      </c>
      <c r="I29" t="s">
        <v>1865</v>
      </c>
      <c r="J29" t="s">
        <v>26</v>
      </c>
      <c r="K29">
        <f>INDEX('LAB PRICES'!$C$2:$F$12, MATCH(tblLabs[[#This Row],[Code]], 'LAB PRICES'!$A$2:$A$12, 0), MATCH(tblLabs[[#This Row],[Facility]], 'LAB PRICES'!$C$1:$F$1, 0))</f>
        <v>30</v>
      </c>
      <c r="L29">
        <f>_xlfn.XLOOKUP(
    tblLabs[[#This Row],[Code]],
    'LAB PRICES'!$A$2:$A$12,
    'LAB PRICES'!$G$2:$G$12
)</f>
        <v>100</v>
      </c>
    </row>
    <row r="30" spans="1:12" x14ac:dyDescent="0.25">
      <c r="A30" t="s">
        <v>435</v>
      </c>
      <c r="B30" t="s">
        <v>436</v>
      </c>
      <c r="C30">
        <v>10</v>
      </c>
      <c r="D30" t="s">
        <v>2567</v>
      </c>
      <c r="E30" t="s">
        <v>61</v>
      </c>
      <c r="F30" t="s">
        <v>1892</v>
      </c>
      <c r="G30" s="7">
        <v>45484</v>
      </c>
      <c r="H30" t="s">
        <v>142</v>
      </c>
      <c r="I30" t="s">
        <v>1866</v>
      </c>
      <c r="J30" t="s">
        <v>8</v>
      </c>
      <c r="K30">
        <f>INDEX('LAB PRICES'!$C$2:$F$12, MATCH(tblLabs[[#This Row],[Code]], 'LAB PRICES'!$A$2:$A$12, 0), MATCH(tblLabs[[#This Row],[Facility]], 'LAB PRICES'!$C$1:$F$1, 0))</f>
        <v>16</v>
      </c>
      <c r="L30">
        <f>_xlfn.XLOOKUP(
    tblLabs[[#This Row],[Code]],
    'LAB PRICES'!$A$2:$A$12,
    'LAB PRICES'!$G$2:$G$12
)</f>
        <v>23</v>
      </c>
    </row>
    <row r="31" spans="1:12" x14ac:dyDescent="0.25">
      <c r="A31" t="s">
        <v>435</v>
      </c>
      <c r="B31" t="s">
        <v>436</v>
      </c>
      <c r="C31">
        <v>16</v>
      </c>
      <c r="D31" t="s">
        <v>1299</v>
      </c>
      <c r="E31" t="s">
        <v>1806</v>
      </c>
      <c r="F31" t="s">
        <v>1890</v>
      </c>
      <c r="G31" s="7">
        <v>45497</v>
      </c>
      <c r="H31" t="s">
        <v>25</v>
      </c>
      <c r="I31" t="s">
        <v>1867</v>
      </c>
      <c r="J31" t="s">
        <v>26</v>
      </c>
      <c r="K31">
        <f>INDEX('LAB PRICES'!$C$2:$F$12, MATCH(tblLabs[[#This Row],[Code]], 'LAB PRICES'!$A$2:$A$12, 0), MATCH(tblLabs[[#This Row],[Facility]], 'LAB PRICES'!$C$1:$F$1, 0))</f>
        <v>5</v>
      </c>
      <c r="L31">
        <f>_xlfn.XLOOKUP(
    tblLabs[[#This Row],[Code]],
    'LAB PRICES'!$A$2:$A$12,
    'LAB PRICES'!$G$2:$G$12
)</f>
        <v>27</v>
      </c>
    </row>
    <row r="32" spans="1:12" x14ac:dyDescent="0.25">
      <c r="A32" t="s">
        <v>435</v>
      </c>
      <c r="B32" t="s">
        <v>436</v>
      </c>
      <c r="C32">
        <v>15</v>
      </c>
      <c r="D32" t="s">
        <v>1301</v>
      </c>
      <c r="E32" t="s">
        <v>1806</v>
      </c>
      <c r="F32" t="s">
        <v>1890</v>
      </c>
      <c r="G32" s="7">
        <v>45498</v>
      </c>
      <c r="H32" t="s">
        <v>25</v>
      </c>
      <c r="I32" t="s">
        <v>1867</v>
      </c>
      <c r="J32" t="s">
        <v>26</v>
      </c>
      <c r="K32">
        <f>INDEX('LAB PRICES'!$C$2:$F$12, MATCH(tblLabs[[#This Row],[Code]], 'LAB PRICES'!$A$2:$A$12, 0), MATCH(tblLabs[[#This Row],[Facility]], 'LAB PRICES'!$C$1:$F$1, 0))</f>
        <v>5</v>
      </c>
      <c r="L32">
        <f>_xlfn.XLOOKUP(
    tblLabs[[#This Row],[Code]],
    'LAB PRICES'!$A$2:$A$12,
    'LAB PRICES'!$G$2:$G$12
)</f>
        <v>27</v>
      </c>
    </row>
    <row r="33" spans="1:12" x14ac:dyDescent="0.25">
      <c r="A33" t="s">
        <v>435</v>
      </c>
      <c r="B33" t="s">
        <v>436</v>
      </c>
      <c r="C33">
        <v>3</v>
      </c>
      <c r="D33" t="s">
        <v>2568</v>
      </c>
      <c r="E33" t="s">
        <v>61</v>
      </c>
      <c r="F33" t="s">
        <v>1892</v>
      </c>
      <c r="G33" s="7">
        <v>45747</v>
      </c>
      <c r="H33" t="s">
        <v>142</v>
      </c>
      <c r="I33" t="s">
        <v>1868</v>
      </c>
      <c r="J33" t="s">
        <v>8</v>
      </c>
      <c r="K33">
        <f>INDEX('LAB PRICES'!$C$2:$F$12, MATCH(tblLabs[[#This Row],[Code]], 'LAB PRICES'!$A$2:$A$12, 0), MATCH(tblLabs[[#This Row],[Facility]], 'LAB PRICES'!$C$1:$F$1, 0))</f>
        <v>16</v>
      </c>
      <c r="L33">
        <f>_xlfn.XLOOKUP(
    tblLabs[[#This Row],[Code]],
    'LAB PRICES'!$A$2:$A$12,
    'LAB PRICES'!$G$2:$G$12
)</f>
        <v>23</v>
      </c>
    </row>
    <row r="34" spans="1:12" x14ac:dyDescent="0.25">
      <c r="A34" t="s">
        <v>474</v>
      </c>
      <c r="B34" t="s">
        <v>458</v>
      </c>
      <c r="C34">
        <v>6</v>
      </c>
      <c r="D34" t="s">
        <v>468</v>
      </c>
      <c r="E34" t="s">
        <v>227</v>
      </c>
      <c r="F34" t="s">
        <v>1899</v>
      </c>
      <c r="G34" s="7">
        <v>44972</v>
      </c>
      <c r="H34" t="s">
        <v>465</v>
      </c>
      <c r="I34" t="s">
        <v>472</v>
      </c>
      <c r="J34" t="s">
        <v>26</v>
      </c>
      <c r="K34">
        <f>INDEX('LAB PRICES'!$C$2:$F$12, MATCH(tblLabs[[#This Row],[Code]], 'LAB PRICES'!$A$2:$A$12, 0), MATCH(tblLabs[[#This Row],[Facility]], 'LAB PRICES'!$C$1:$F$1, 0))</f>
        <v>25</v>
      </c>
      <c r="L34">
        <f>_xlfn.XLOOKUP(
    tblLabs[[#This Row],[Code]],
    'LAB PRICES'!$A$2:$A$12,
    'LAB PRICES'!$G$2:$G$12
)</f>
        <v>140</v>
      </c>
    </row>
    <row r="35" spans="1:12" x14ac:dyDescent="0.25">
      <c r="A35" t="s">
        <v>474</v>
      </c>
      <c r="B35" t="s">
        <v>458</v>
      </c>
      <c r="C35">
        <v>70</v>
      </c>
      <c r="D35" t="s">
        <v>2569</v>
      </c>
      <c r="E35" t="s">
        <v>61</v>
      </c>
      <c r="F35" t="s">
        <v>1892</v>
      </c>
      <c r="G35" s="7">
        <v>44972</v>
      </c>
      <c r="H35" t="s">
        <v>465</v>
      </c>
      <c r="I35" t="s">
        <v>472</v>
      </c>
      <c r="J35" t="s">
        <v>8</v>
      </c>
      <c r="K35">
        <f>INDEX('LAB PRICES'!$C$2:$F$12, MATCH(tblLabs[[#This Row],[Code]], 'LAB PRICES'!$A$2:$A$12, 0), MATCH(tblLabs[[#This Row],[Facility]], 'LAB PRICES'!$C$1:$F$1, 0))</f>
        <v>16</v>
      </c>
      <c r="L35">
        <f>_xlfn.XLOOKUP(
    tblLabs[[#This Row],[Code]],
    'LAB PRICES'!$A$2:$A$12,
    'LAB PRICES'!$G$2:$G$12
)</f>
        <v>23</v>
      </c>
    </row>
    <row r="36" spans="1:12" x14ac:dyDescent="0.25">
      <c r="A36" t="s">
        <v>474</v>
      </c>
      <c r="B36" t="s">
        <v>458</v>
      </c>
      <c r="C36">
        <v>65</v>
      </c>
      <c r="D36" t="s">
        <v>2582</v>
      </c>
      <c r="E36" t="s">
        <v>466</v>
      </c>
      <c r="F36" t="s">
        <v>1893</v>
      </c>
      <c r="G36" s="7">
        <v>44972</v>
      </c>
      <c r="H36" t="s">
        <v>465</v>
      </c>
      <c r="I36" t="s">
        <v>472</v>
      </c>
      <c r="J36" t="s">
        <v>8</v>
      </c>
      <c r="K36">
        <f>INDEX('LAB PRICES'!$C$2:$F$12, MATCH(tblLabs[[#This Row],[Code]], 'LAB PRICES'!$A$2:$A$12, 0), MATCH(tblLabs[[#This Row],[Facility]], 'LAB PRICES'!$C$1:$F$1, 0))</f>
        <v>6</v>
      </c>
      <c r="L36">
        <f>_xlfn.XLOOKUP(
    tblLabs[[#This Row],[Code]],
    'LAB PRICES'!$A$2:$A$12,
    'LAB PRICES'!$G$2:$G$12
)</f>
        <v>40</v>
      </c>
    </row>
    <row r="37" spans="1:12" x14ac:dyDescent="0.25">
      <c r="A37" t="s">
        <v>474</v>
      </c>
      <c r="B37" t="s">
        <v>458</v>
      </c>
      <c r="C37">
        <v>48</v>
      </c>
      <c r="D37" t="s">
        <v>2593</v>
      </c>
      <c r="E37" t="s">
        <v>467</v>
      </c>
      <c r="F37" t="s">
        <v>1894</v>
      </c>
      <c r="G37" s="7">
        <v>44972</v>
      </c>
      <c r="H37" t="s">
        <v>465</v>
      </c>
      <c r="I37" t="s">
        <v>472</v>
      </c>
      <c r="J37" t="s">
        <v>8</v>
      </c>
      <c r="K37">
        <f>INDEX('LAB PRICES'!$C$2:$F$12, MATCH(tblLabs[[#This Row],[Code]], 'LAB PRICES'!$A$2:$A$12, 0), MATCH(tblLabs[[#This Row],[Facility]], 'LAB PRICES'!$C$1:$F$1, 0))</f>
        <v>26</v>
      </c>
      <c r="L37">
        <f>_xlfn.XLOOKUP(
    tblLabs[[#This Row],[Code]],
    'LAB PRICES'!$A$2:$A$12,
    'LAB PRICES'!$G$2:$G$12
)</f>
        <v>70</v>
      </c>
    </row>
    <row r="38" spans="1:12" x14ac:dyDescent="0.25">
      <c r="A38" t="s">
        <v>474</v>
      </c>
      <c r="B38" t="s">
        <v>458</v>
      </c>
      <c r="C38">
        <v>2</v>
      </c>
      <c r="D38" t="s">
        <v>2570</v>
      </c>
      <c r="E38" t="s">
        <v>653</v>
      </c>
      <c r="F38" t="s">
        <v>1900</v>
      </c>
      <c r="G38" s="7">
        <v>44972</v>
      </c>
      <c r="H38" t="s">
        <v>465</v>
      </c>
      <c r="I38" t="s">
        <v>472</v>
      </c>
      <c r="J38" t="s">
        <v>8</v>
      </c>
      <c r="K38">
        <f>INDEX('LAB PRICES'!$C$2:$F$12, MATCH(tblLabs[[#This Row],[Code]], 'LAB PRICES'!$A$2:$A$12, 0), MATCH(tblLabs[[#This Row],[Facility]], 'LAB PRICES'!$C$1:$F$1, 0))</f>
        <v>4</v>
      </c>
      <c r="L38">
        <f>_xlfn.XLOOKUP(
    tblLabs[[#This Row],[Code]],
    'LAB PRICES'!$A$2:$A$12,
    'LAB PRICES'!$G$2:$G$12
)</f>
        <v>22</v>
      </c>
    </row>
    <row r="39" spans="1:12" x14ac:dyDescent="0.25">
      <c r="A39" t="s">
        <v>474</v>
      </c>
      <c r="B39" t="s">
        <v>458</v>
      </c>
      <c r="C39">
        <v>5</v>
      </c>
      <c r="D39" t="s">
        <v>464</v>
      </c>
      <c r="E39" t="s">
        <v>14</v>
      </c>
      <c r="F39" t="s">
        <v>1891</v>
      </c>
      <c r="G39" s="7">
        <v>45059</v>
      </c>
      <c r="H39" t="s">
        <v>71</v>
      </c>
      <c r="I39" t="s">
        <v>472</v>
      </c>
      <c r="J39" t="s">
        <v>8</v>
      </c>
      <c r="K39">
        <f>INDEX('LAB PRICES'!$C$2:$F$12, MATCH(tblLabs[[#This Row],[Code]], 'LAB PRICES'!$A$2:$A$12, 0), MATCH(tblLabs[[#This Row],[Facility]], 'LAB PRICES'!$C$1:$F$1, 0))</f>
        <v>40</v>
      </c>
      <c r="L39">
        <f>_xlfn.XLOOKUP(
    tblLabs[[#This Row],[Code]],
    'LAB PRICES'!$A$2:$A$12,
    'LAB PRICES'!$G$2:$G$12
)</f>
        <v>100</v>
      </c>
    </row>
    <row r="40" spans="1:12" x14ac:dyDescent="0.25">
      <c r="A40" t="s">
        <v>474</v>
      </c>
      <c r="B40" t="s">
        <v>458</v>
      </c>
      <c r="C40">
        <v>12</v>
      </c>
      <c r="D40" t="s">
        <v>459</v>
      </c>
      <c r="E40" t="s">
        <v>1878</v>
      </c>
      <c r="F40" t="s">
        <v>1889</v>
      </c>
      <c r="G40" s="7">
        <v>45056</v>
      </c>
      <c r="H40" t="s">
        <v>71</v>
      </c>
      <c r="I40" t="s">
        <v>472</v>
      </c>
      <c r="J40" t="s">
        <v>8</v>
      </c>
      <c r="K40">
        <f>INDEX('LAB PRICES'!$C$2:$F$12, MATCH(tblLabs[[#This Row],[Code]], 'LAB PRICES'!$A$2:$A$12, 0), MATCH(tblLabs[[#This Row],[Facility]], 'LAB PRICES'!$C$1:$F$1, 0))</f>
        <v>6</v>
      </c>
      <c r="L40">
        <f>_xlfn.XLOOKUP(
    tblLabs[[#This Row],[Code]],
    'LAB PRICES'!$A$2:$A$12,
    'LAB PRICES'!$G$2:$G$12
)</f>
        <v>23</v>
      </c>
    </row>
    <row r="41" spans="1:12" x14ac:dyDescent="0.25">
      <c r="A41" t="s">
        <v>474</v>
      </c>
      <c r="B41" t="s">
        <v>458</v>
      </c>
      <c r="C41">
        <v>12</v>
      </c>
      <c r="D41" t="s">
        <v>460</v>
      </c>
      <c r="E41" t="s">
        <v>1878</v>
      </c>
      <c r="F41" t="s">
        <v>1889</v>
      </c>
      <c r="G41" s="7">
        <v>45057</v>
      </c>
      <c r="H41" t="s">
        <v>71</v>
      </c>
      <c r="I41" t="s">
        <v>472</v>
      </c>
      <c r="J41" t="s">
        <v>8</v>
      </c>
      <c r="K41">
        <f>INDEX('LAB PRICES'!$C$2:$F$12, MATCH(tblLabs[[#This Row],[Code]], 'LAB PRICES'!$A$2:$A$12, 0), MATCH(tblLabs[[#This Row],[Facility]], 'LAB PRICES'!$C$1:$F$1, 0))</f>
        <v>6</v>
      </c>
      <c r="L41">
        <f>_xlfn.XLOOKUP(
    tblLabs[[#This Row],[Code]],
    'LAB PRICES'!$A$2:$A$12,
    'LAB PRICES'!$G$2:$G$12
)</f>
        <v>23</v>
      </c>
    </row>
    <row r="42" spans="1:12" x14ac:dyDescent="0.25">
      <c r="A42" t="s">
        <v>474</v>
      </c>
      <c r="B42" t="s">
        <v>458</v>
      </c>
      <c r="C42">
        <v>14</v>
      </c>
      <c r="D42" t="s">
        <v>461</v>
      </c>
      <c r="E42" t="s">
        <v>1878</v>
      </c>
      <c r="F42" t="s">
        <v>1889</v>
      </c>
      <c r="G42" s="7">
        <v>45057</v>
      </c>
      <c r="H42" t="s">
        <v>71</v>
      </c>
      <c r="I42" t="s">
        <v>472</v>
      </c>
      <c r="J42" t="s">
        <v>8</v>
      </c>
      <c r="K42">
        <f>INDEX('LAB PRICES'!$C$2:$F$12, MATCH(tblLabs[[#This Row],[Code]], 'LAB PRICES'!$A$2:$A$12, 0), MATCH(tblLabs[[#This Row],[Facility]], 'LAB PRICES'!$C$1:$F$1, 0))</f>
        <v>6</v>
      </c>
      <c r="L42">
        <f>_xlfn.XLOOKUP(
    tblLabs[[#This Row],[Code]],
    'LAB PRICES'!$A$2:$A$12,
    'LAB PRICES'!$G$2:$G$12
)</f>
        <v>23</v>
      </c>
    </row>
    <row r="43" spans="1:12" x14ac:dyDescent="0.25">
      <c r="A43" t="s">
        <v>474</v>
      </c>
      <c r="B43" t="s">
        <v>458</v>
      </c>
      <c r="C43">
        <v>14</v>
      </c>
      <c r="D43" t="s">
        <v>462</v>
      </c>
      <c r="E43" t="s">
        <v>1878</v>
      </c>
      <c r="F43" t="s">
        <v>1889</v>
      </c>
      <c r="G43" s="7">
        <v>45058</v>
      </c>
      <c r="H43" t="s">
        <v>71</v>
      </c>
      <c r="I43" t="s">
        <v>472</v>
      </c>
      <c r="J43" t="s">
        <v>8</v>
      </c>
      <c r="K43">
        <f>INDEX('LAB PRICES'!$C$2:$F$12, MATCH(tblLabs[[#This Row],[Code]], 'LAB PRICES'!$A$2:$A$12, 0), MATCH(tblLabs[[#This Row],[Facility]], 'LAB PRICES'!$C$1:$F$1, 0))</f>
        <v>6</v>
      </c>
      <c r="L43">
        <f>_xlfn.XLOOKUP(
    tblLabs[[#This Row],[Code]],
    'LAB PRICES'!$A$2:$A$12,
    'LAB PRICES'!$G$2:$G$12
)</f>
        <v>23</v>
      </c>
    </row>
    <row r="44" spans="1:12" x14ac:dyDescent="0.25">
      <c r="A44" t="s">
        <v>474</v>
      </c>
      <c r="B44" t="s">
        <v>458</v>
      </c>
      <c r="C44">
        <v>12</v>
      </c>
      <c r="D44" t="s">
        <v>463</v>
      </c>
      <c r="E44" t="s">
        <v>237</v>
      </c>
      <c r="F44" t="s">
        <v>1890</v>
      </c>
      <c r="G44" s="7">
        <v>45059</v>
      </c>
      <c r="H44" t="s">
        <v>71</v>
      </c>
      <c r="I44" t="s">
        <v>472</v>
      </c>
      <c r="J44" t="s">
        <v>8</v>
      </c>
      <c r="K44">
        <f>INDEX('LAB PRICES'!$C$2:$F$12, MATCH(tblLabs[[#This Row],[Code]], 'LAB PRICES'!$A$2:$A$12, 0), MATCH(tblLabs[[#This Row],[Facility]], 'LAB PRICES'!$C$1:$F$1, 0))</f>
        <v>6</v>
      </c>
      <c r="L44">
        <f>_xlfn.XLOOKUP(
    tblLabs[[#This Row],[Code]],
    'LAB PRICES'!$A$2:$A$12,
    'LAB PRICES'!$G$2:$G$12
)</f>
        <v>27</v>
      </c>
    </row>
    <row r="45" spans="1:12" x14ac:dyDescent="0.25">
      <c r="A45" t="s">
        <v>474</v>
      </c>
      <c r="B45" t="s">
        <v>458</v>
      </c>
      <c r="C45">
        <v>14</v>
      </c>
      <c r="D45" t="s">
        <v>471</v>
      </c>
      <c r="E45" t="s">
        <v>1806</v>
      </c>
      <c r="F45" t="s">
        <v>1890</v>
      </c>
      <c r="G45" s="7">
        <v>45094</v>
      </c>
      <c r="H45" t="s">
        <v>142</v>
      </c>
      <c r="I45" t="s">
        <v>473</v>
      </c>
      <c r="J45" t="s">
        <v>8</v>
      </c>
      <c r="K45">
        <f>INDEX('LAB PRICES'!$C$2:$F$12, MATCH(tblLabs[[#This Row],[Code]], 'LAB PRICES'!$A$2:$A$12, 0), MATCH(tblLabs[[#This Row],[Facility]], 'LAB PRICES'!$C$1:$F$1, 0))</f>
        <v>6</v>
      </c>
      <c r="L45">
        <f>_xlfn.XLOOKUP(
    tblLabs[[#This Row],[Code]],
    'LAB PRICES'!$A$2:$A$12,
    'LAB PRICES'!$G$2:$G$12
)</f>
        <v>27</v>
      </c>
    </row>
    <row r="46" spans="1:12" x14ac:dyDescent="0.25">
      <c r="A46" t="s">
        <v>474</v>
      </c>
      <c r="B46" t="s">
        <v>458</v>
      </c>
      <c r="C46">
        <v>14</v>
      </c>
      <c r="D46" t="s">
        <v>469</v>
      </c>
      <c r="E46" t="s">
        <v>470</v>
      </c>
      <c r="F46" t="s">
        <v>1896</v>
      </c>
      <c r="G46" s="7">
        <v>45175</v>
      </c>
      <c r="H46" t="s">
        <v>62</v>
      </c>
      <c r="I46" t="s">
        <v>472</v>
      </c>
      <c r="J46" t="s">
        <v>8</v>
      </c>
      <c r="K46">
        <f>INDEX('LAB PRICES'!$C$2:$F$12, MATCH(tblLabs[[#This Row],[Code]], 'LAB PRICES'!$A$2:$A$12, 0), MATCH(tblLabs[[#This Row],[Facility]], 'LAB PRICES'!$C$1:$F$1, 0))</f>
        <v>14</v>
      </c>
      <c r="L46">
        <f>_xlfn.XLOOKUP(
    tblLabs[[#This Row],[Code]],
    'LAB PRICES'!$A$2:$A$12,
    'LAB PRICES'!$G$2:$G$12
)</f>
        <v>28</v>
      </c>
    </row>
    <row r="47" spans="1:12" x14ac:dyDescent="0.25">
      <c r="A47" t="s">
        <v>1921</v>
      </c>
      <c r="B47" t="s">
        <v>1722</v>
      </c>
      <c r="C47" s="15">
        <v>6</v>
      </c>
      <c r="D47" s="14" t="s">
        <v>2583</v>
      </c>
      <c r="E47" t="s">
        <v>466</v>
      </c>
      <c r="F47" t="s">
        <v>1893</v>
      </c>
      <c r="G47" s="7">
        <v>45022</v>
      </c>
      <c r="H47" t="s">
        <v>71</v>
      </c>
      <c r="I47" t="s">
        <v>1924</v>
      </c>
      <c r="J47" t="s">
        <v>8</v>
      </c>
      <c r="K47">
        <f>INDEX('LAB PRICES'!$C$2:$F$12, MATCH(tblLabs[[#This Row],[Code]], 'LAB PRICES'!$A$2:$A$12, 0), MATCH(tblLabs[[#This Row],[Facility]], 'LAB PRICES'!$C$1:$F$1, 0))</f>
        <v>6</v>
      </c>
      <c r="L47">
        <f>_xlfn.XLOOKUP(
    tblLabs[[#This Row],[Code]],
    'LAB PRICES'!$A$2:$A$12,
    'LAB PRICES'!$G$2:$G$12
)</f>
        <v>40</v>
      </c>
    </row>
    <row r="48" spans="1:12" x14ac:dyDescent="0.25">
      <c r="A48" t="s">
        <v>1921</v>
      </c>
      <c r="B48" t="s">
        <v>1722</v>
      </c>
      <c r="C48" s="15">
        <v>6</v>
      </c>
      <c r="D48" s="14" t="s">
        <v>2594</v>
      </c>
      <c r="E48" t="s">
        <v>467</v>
      </c>
      <c r="F48" t="s">
        <v>1894</v>
      </c>
      <c r="G48" s="7">
        <v>45022</v>
      </c>
      <c r="H48" t="s">
        <v>71</v>
      </c>
      <c r="I48" t="s">
        <v>1924</v>
      </c>
      <c r="J48" t="s">
        <v>8</v>
      </c>
      <c r="K48">
        <f>INDEX('LAB PRICES'!$C$2:$F$12, MATCH(tblLabs[[#This Row],[Code]], 'LAB PRICES'!$A$2:$A$12, 0), MATCH(tblLabs[[#This Row],[Facility]], 'LAB PRICES'!$C$1:$F$1, 0))</f>
        <v>26</v>
      </c>
      <c r="L48">
        <f>_xlfn.XLOOKUP(
    tblLabs[[#This Row],[Code]],
    'LAB PRICES'!$A$2:$A$12,
    'LAB PRICES'!$G$2:$G$12
)</f>
        <v>70</v>
      </c>
    </row>
    <row r="49" spans="1:12" x14ac:dyDescent="0.25">
      <c r="A49" t="s">
        <v>1921</v>
      </c>
      <c r="B49" t="s">
        <v>1722</v>
      </c>
      <c r="C49" s="15">
        <v>5</v>
      </c>
      <c r="D49" s="14" t="s">
        <v>1928</v>
      </c>
      <c r="E49" t="s">
        <v>14</v>
      </c>
      <c r="F49" t="s">
        <v>1891</v>
      </c>
      <c r="G49" s="7">
        <v>45095</v>
      </c>
      <c r="H49" t="s">
        <v>62</v>
      </c>
      <c r="I49" t="s">
        <v>1924</v>
      </c>
      <c r="J49" t="s">
        <v>8</v>
      </c>
      <c r="K49">
        <f>INDEX('LAB PRICES'!$C$2:$F$12, MATCH(tblLabs[[#This Row],[Code]], 'LAB PRICES'!$A$2:$A$12, 0), MATCH(tblLabs[[#This Row],[Facility]], 'LAB PRICES'!$C$1:$F$1, 0))</f>
        <v>40</v>
      </c>
      <c r="L49">
        <f>_xlfn.XLOOKUP(
    tblLabs[[#This Row],[Code]],
    'LAB PRICES'!$A$2:$A$12,
    'LAB PRICES'!$G$2:$G$12
)</f>
        <v>100</v>
      </c>
    </row>
    <row r="50" spans="1:12" x14ac:dyDescent="0.25">
      <c r="A50" t="s">
        <v>1921</v>
      </c>
      <c r="B50" t="s">
        <v>1722</v>
      </c>
      <c r="C50" s="15">
        <v>12</v>
      </c>
      <c r="D50" s="14" t="s">
        <v>1923</v>
      </c>
      <c r="E50" t="s">
        <v>1878</v>
      </c>
      <c r="F50" t="s">
        <v>1889</v>
      </c>
      <c r="G50" s="7">
        <v>45092</v>
      </c>
      <c r="H50" t="s">
        <v>62</v>
      </c>
      <c r="I50" t="s">
        <v>1924</v>
      </c>
      <c r="J50" t="s">
        <v>8</v>
      </c>
      <c r="K50">
        <f>INDEX('LAB PRICES'!$C$2:$F$12, MATCH(tblLabs[[#This Row],[Code]], 'LAB PRICES'!$A$2:$A$12, 0), MATCH(tblLabs[[#This Row],[Facility]], 'LAB PRICES'!$C$1:$F$1, 0))</f>
        <v>6</v>
      </c>
      <c r="L50">
        <f>_xlfn.XLOOKUP(
    tblLabs[[#This Row],[Code]],
    'LAB PRICES'!$A$2:$A$12,
    'LAB PRICES'!$G$2:$G$12
)</f>
        <v>23</v>
      </c>
    </row>
    <row r="51" spans="1:12" x14ac:dyDescent="0.25">
      <c r="A51" t="s">
        <v>1921</v>
      </c>
      <c r="B51" t="s">
        <v>1722</v>
      </c>
      <c r="C51" s="15">
        <v>12</v>
      </c>
      <c r="D51" s="14" t="s">
        <v>1927</v>
      </c>
      <c r="E51" t="s">
        <v>237</v>
      </c>
      <c r="F51" t="s">
        <v>1890</v>
      </c>
      <c r="G51" s="7">
        <v>45095</v>
      </c>
      <c r="H51" t="s">
        <v>62</v>
      </c>
      <c r="I51" t="s">
        <v>1924</v>
      </c>
      <c r="J51" t="s">
        <v>8</v>
      </c>
      <c r="K51">
        <f>INDEX('LAB PRICES'!$C$2:$F$12, MATCH(tblLabs[[#This Row],[Code]], 'LAB PRICES'!$A$2:$A$12, 0), MATCH(tblLabs[[#This Row],[Facility]], 'LAB PRICES'!$C$1:$F$1, 0))</f>
        <v>6</v>
      </c>
      <c r="L51">
        <f>_xlfn.XLOOKUP(
    tblLabs[[#This Row],[Code]],
    'LAB PRICES'!$A$2:$A$12,
    'LAB PRICES'!$G$2:$G$12
)</f>
        <v>27</v>
      </c>
    </row>
    <row r="52" spans="1:12" x14ac:dyDescent="0.25">
      <c r="A52" t="s">
        <v>1921</v>
      </c>
      <c r="B52" t="s">
        <v>1722</v>
      </c>
      <c r="C52" s="15">
        <v>12</v>
      </c>
      <c r="D52" s="14" t="s">
        <v>1925</v>
      </c>
      <c r="E52" t="s">
        <v>1878</v>
      </c>
      <c r="F52" t="s">
        <v>1889</v>
      </c>
      <c r="G52" s="7">
        <v>45094</v>
      </c>
      <c r="H52" t="s">
        <v>62</v>
      </c>
      <c r="I52" t="s">
        <v>1924</v>
      </c>
      <c r="J52" t="s">
        <v>8</v>
      </c>
      <c r="K52">
        <f>INDEX('LAB PRICES'!$C$2:$F$12, MATCH(tblLabs[[#This Row],[Code]], 'LAB PRICES'!$A$2:$A$12, 0), MATCH(tblLabs[[#This Row],[Facility]], 'LAB PRICES'!$C$1:$F$1, 0))</f>
        <v>6</v>
      </c>
      <c r="L52">
        <f>_xlfn.XLOOKUP(
    tblLabs[[#This Row],[Code]],
    'LAB PRICES'!$A$2:$A$12,
    'LAB PRICES'!$G$2:$G$12
)</f>
        <v>23</v>
      </c>
    </row>
    <row r="53" spans="1:12" x14ac:dyDescent="0.25">
      <c r="A53" t="s">
        <v>1921</v>
      </c>
      <c r="B53" t="s">
        <v>1722</v>
      </c>
      <c r="C53" s="15">
        <v>9</v>
      </c>
      <c r="D53" s="14" t="s">
        <v>1926</v>
      </c>
      <c r="E53" t="s">
        <v>1878</v>
      </c>
      <c r="F53" t="s">
        <v>1889</v>
      </c>
      <c r="G53" s="7">
        <v>45094</v>
      </c>
      <c r="H53" t="s">
        <v>62</v>
      </c>
      <c r="I53" t="s">
        <v>1924</v>
      </c>
      <c r="J53" t="s">
        <v>8</v>
      </c>
      <c r="K53">
        <f>INDEX('LAB PRICES'!$C$2:$F$12, MATCH(tblLabs[[#This Row],[Code]], 'LAB PRICES'!$A$2:$A$12, 0), MATCH(tblLabs[[#This Row],[Facility]], 'LAB PRICES'!$C$1:$F$1, 0))</f>
        <v>6</v>
      </c>
      <c r="L53">
        <f>_xlfn.XLOOKUP(
    tblLabs[[#This Row],[Code]],
    'LAB PRICES'!$A$2:$A$12,
    'LAB PRICES'!$G$2:$G$12
)</f>
        <v>23</v>
      </c>
    </row>
    <row r="54" spans="1:12" x14ac:dyDescent="0.25">
      <c r="A54" t="s">
        <v>52</v>
      </c>
      <c r="B54" t="s">
        <v>53</v>
      </c>
      <c r="C54">
        <v>6</v>
      </c>
      <c r="D54" t="s">
        <v>13</v>
      </c>
      <c r="E54" t="s">
        <v>14</v>
      </c>
      <c r="F54" t="s">
        <v>1891</v>
      </c>
      <c r="G54" s="7">
        <v>45143</v>
      </c>
      <c r="H54" t="s">
        <v>7</v>
      </c>
      <c r="I54" t="s">
        <v>15</v>
      </c>
      <c r="J54" t="s">
        <v>8</v>
      </c>
      <c r="K54">
        <f>INDEX('LAB PRICES'!$C$2:$F$12, MATCH(tblLabs[[#This Row],[Code]], 'LAB PRICES'!$A$2:$A$12, 0), MATCH(tblLabs[[#This Row],[Facility]], 'LAB PRICES'!$C$1:$F$1, 0))</f>
        <v>40</v>
      </c>
      <c r="L54">
        <f>_xlfn.XLOOKUP(
    tblLabs[[#This Row],[Code]],
    'LAB PRICES'!$A$2:$A$12,
    'LAB PRICES'!$G$2:$G$12
)</f>
        <v>100</v>
      </c>
    </row>
    <row r="55" spans="1:12" x14ac:dyDescent="0.25">
      <c r="A55" t="s">
        <v>52</v>
      </c>
      <c r="B55" t="s">
        <v>53</v>
      </c>
      <c r="C55">
        <v>6</v>
      </c>
      <c r="D55" t="s">
        <v>16</v>
      </c>
      <c r="E55" t="s">
        <v>14</v>
      </c>
      <c r="F55" t="s">
        <v>1891</v>
      </c>
      <c r="G55" s="7">
        <v>45143</v>
      </c>
      <c r="H55" t="s">
        <v>11</v>
      </c>
      <c r="I55" t="s">
        <v>17</v>
      </c>
      <c r="J55" t="s">
        <v>8</v>
      </c>
      <c r="K55">
        <f>INDEX('LAB PRICES'!$C$2:$F$12, MATCH(tblLabs[[#This Row],[Code]], 'LAB PRICES'!$A$2:$A$12, 0), MATCH(tblLabs[[#This Row],[Facility]], 'LAB PRICES'!$C$1:$F$1, 0))</f>
        <v>40</v>
      </c>
      <c r="L55">
        <f>_xlfn.XLOOKUP(
    tblLabs[[#This Row],[Code]],
    'LAB PRICES'!$A$2:$A$12,
    'LAB PRICES'!$G$2:$G$12
)</f>
        <v>100</v>
      </c>
    </row>
    <row r="56" spans="1:12" x14ac:dyDescent="0.25">
      <c r="A56" t="s">
        <v>52</v>
      </c>
      <c r="B56" t="s">
        <v>53</v>
      </c>
      <c r="C56">
        <v>24</v>
      </c>
      <c r="D56" t="s">
        <v>35</v>
      </c>
      <c r="E56" t="s">
        <v>1878</v>
      </c>
      <c r="F56" t="s">
        <v>1889</v>
      </c>
      <c r="G56" s="7">
        <v>45148</v>
      </c>
      <c r="H56" t="s">
        <v>11</v>
      </c>
      <c r="I56" t="s">
        <v>36</v>
      </c>
      <c r="J56" t="s">
        <v>26</v>
      </c>
      <c r="K56">
        <f>INDEX('LAB PRICES'!$C$2:$F$12, MATCH(tblLabs[[#This Row],[Code]], 'LAB PRICES'!$A$2:$A$12, 0), MATCH(tblLabs[[#This Row],[Facility]], 'LAB PRICES'!$C$1:$F$1, 0))</f>
        <v>5</v>
      </c>
      <c r="L56">
        <f>_xlfn.XLOOKUP(
    tblLabs[[#This Row],[Code]],
    'LAB PRICES'!$A$2:$A$12,
    'LAB PRICES'!$G$2:$G$12
)</f>
        <v>23</v>
      </c>
    </row>
    <row r="57" spans="1:12" x14ac:dyDescent="0.25">
      <c r="A57" t="s">
        <v>52</v>
      </c>
      <c r="B57" t="s">
        <v>53</v>
      </c>
      <c r="C57">
        <v>8</v>
      </c>
      <c r="D57" t="s">
        <v>38</v>
      </c>
      <c r="E57" t="s">
        <v>237</v>
      </c>
      <c r="F57" t="s">
        <v>1890</v>
      </c>
      <c r="G57" s="7">
        <v>45150</v>
      </c>
      <c r="H57" t="s">
        <v>11</v>
      </c>
      <c r="I57" t="s">
        <v>39</v>
      </c>
      <c r="J57" t="s">
        <v>26</v>
      </c>
      <c r="K57">
        <f>INDEX('LAB PRICES'!$C$2:$F$12, MATCH(tblLabs[[#This Row],[Code]], 'LAB PRICES'!$A$2:$A$12, 0), MATCH(tblLabs[[#This Row],[Facility]], 'LAB PRICES'!$C$1:$F$1, 0))</f>
        <v>5</v>
      </c>
      <c r="L57">
        <f>_xlfn.XLOOKUP(
    tblLabs[[#This Row],[Code]],
    'LAB PRICES'!$A$2:$A$12,
    'LAB PRICES'!$G$2:$G$12
)</f>
        <v>27</v>
      </c>
    </row>
    <row r="58" spans="1:12" x14ac:dyDescent="0.25">
      <c r="A58" t="s">
        <v>52</v>
      </c>
      <c r="B58" t="s">
        <v>53</v>
      </c>
      <c r="C58">
        <v>4</v>
      </c>
      <c r="D58" t="s">
        <v>28</v>
      </c>
      <c r="E58" t="s">
        <v>14</v>
      </c>
      <c r="F58" t="s">
        <v>1891</v>
      </c>
      <c r="G58" s="7">
        <v>45150</v>
      </c>
      <c r="H58" t="s">
        <v>11</v>
      </c>
      <c r="I58" t="s">
        <v>29</v>
      </c>
      <c r="J58" t="s">
        <v>26</v>
      </c>
      <c r="K58">
        <f>INDEX('LAB PRICES'!$C$2:$F$12, MATCH(tblLabs[[#This Row],[Code]], 'LAB PRICES'!$A$2:$A$12, 0), MATCH(tblLabs[[#This Row],[Facility]], 'LAB PRICES'!$C$1:$F$1, 0))</f>
        <v>30</v>
      </c>
      <c r="L58">
        <f>_xlfn.XLOOKUP(
    tblLabs[[#This Row],[Code]],
    'LAB PRICES'!$A$2:$A$12,
    'LAB PRICES'!$G$2:$G$12
)</f>
        <v>100</v>
      </c>
    </row>
    <row r="59" spans="1:12" x14ac:dyDescent="0.25">
      <c r="A59" t="s">
        <v>52</v>
      </c>
      <c r="B59" t="s">
        <v>53</v>
      </c>
      <c r="C59">
        <v>8</v>
      </c>
      <c r="D59" t="s">
        <v>37</v>
      </c>
      <c r="E59" t="s">
        <v>1878</v>
      </c>
      <c r="F59" t="s">
        <v>1889</v>
      </c>
      <c r="G59" s="7">
        <v>45149</v>
      </c>
      <c r="H59" t="s">
        <v>25</v>
      </c>
      <c r="I59" t="s">
        <v>36</v>
      </c>
      <c r="J59" t="s">
        <v>26</v>
      </c>
      <c r="K59">
        <f>INDEX('LAB PRICES'!$C$2:$F$12, MATCH(tblLabs[[#This Row],[Code]], 'LAB PRICES'!$A$2:$A$12, 0), MATCH(tblLabs[[#This Row],[Facility]], 'LAB PRICES'!$C$1:$F$1, 0))</f>
        <v>5</v>
      </c>
      <c r="L59">
        <f>_xlfn.XLOOKUP(
    tblLabs[[#This Row],[Code]],
    'LAB PRICES'!$A$2:$A$12,
    'LAB PRICES'!$G$2:$G$12
)</f>
        <v>23</v>
      </c>
    </row>
    <row r="60" spans="1:12" x14ac:dyDescent="0.25">
      <c r="A60" t="s">
        <v>52</v>
      </c>
      <c r="B60" t="s">
        <v>53</v>
      </c>
      <c r="C60">
        <v>10</v>
      </c>
      <c r="D60" t="s">
        <v>34</v>
      </c>
      <c r="E60" t="s">
        <v>1878</v>
      </c>
      <c r="F60" t="s">
        <v>1889</v>
      </c>
      <c r="G60" s="7">
        <v>45149</v>
      </c>
      <c r="H60" t="s">
        <v>11</v>
      </c>
      <c r="I60" t="s">
        <v>29</v>
      </c>
      <c r="J60" t="s">
        <v>26</v>
      </c>
      <c r="K60">
        <f>INDEX('LAB PRICES'!$C$2:$F$12, MATCH(tblLabs[[#This Row],[Code]], 'LAB PRICES'!$A$2:$A$12, 0), MATCH(tblLabs[[#This Row],[Facility]], 'LAB PRICES'!$C$1:$F$1, 0))</f>
        <v>5</v>
      </c>
      <c r="L60">
        <f>_xlfn.XLOOKUP(
    tblLabs[[#This Row],[Code]],
    'LAB PRICES'!$A$2:$A$12,
    'LAB PRICES'!$G$2:$G$12
)</f>
        <v>23</v>
      </c>
    </row>
    <row r="61" spans="1:12" x14ac:dyDescent="0.25">
      <c r="A61" t="s">
        <v>52</v>
      </c>
      <c r="B61" t="s">
        <v>53</v>
      </c>
      <c r="C61">
        <v>15</v>
      </c>
      <c r="D61" t="s">
        <v>41</v>
      </c>
      <c r="E61" t="s">
        <v>237</v>
      </c>
      <c r="F61" t="s">
        <v>1890</v>
      </c>
      <c r="G61" s="7">
        <v>45150</v>
      </c>
      <c r="H61" t="s">
        <v>25</v>
      </c>
      <c r="I61" t="s">
        <v>36</v>
      </c>
      <c r="J61" t="s">
        <v>26</v>
      </c>
      <c r="K61">
        <f>INDEX('LAB PRICES'!$C$2:$F$12, MATCH(tblLabs[[#This Row],[Code]], 'LAB PRICES'!$A$2:$A$12, 0), MATCH(tblLabs[[#This Row],[Facility]], 'LAB PRICES'!$C$1:$F$1, 0))</f>
        <v>5</v>
      </c>
      <c r="L61">
        <f>_xlfn.XLOOKUP(
    tblLabs[[#This Row],[Code]],
    'LAB PRICES'!$A$2:$A$12,
    'LAB PRICES'!$G$2:$G$12
)</f>
        <v>27</v>
      </c>
    </row>
    <row r="62" spans="1:12" x14ac:dyDescent="0.25">
      <c r="A62" t="s">
        <v>52</v>
      </c>
      <c r="B62" t="s">
        <v>53</v>
      </c>
      <c r="C62">
        <v>4</v>
      </c>
      <c r="D62" t="s">
        <v>24</v>
      </c>
      <c r="E62" t="s">
        <v>14</v>
      </c>
      <c r="F62" t="s">
        <v>1891</v>
      </c>
      <c r="G62" s="7">
        <v>45150</v>
      </c>
      <c r="H62" t="s">
        <v>25</v>
      </c>
      <c r="I62" t="s">
        <v>27</v>
      </c>
      <c r="J62" t="s">
        <v>26</v>
      </c>
      <c r="K62">
        <f>INDEX('LAB PRICES'!$C$2:$F$12, MATCH(tblLabs[[#This Row],[Code]], 'LAB PRICES'!$A$2:$A$12, 0), MATCH(tblLabs[[#This Row],[Facility]], 'LAB PRICES'!$C$1:$F$1, 0))</f>
        <v>30</v>
      </c>
      <c r="L62">
        <f>_xlfn.XLOOKUP(
    tblLabs[[#This Row],[Code]],
    'LAB PRICES'!$A$2:$A$12,
    'LAB PRICES'!$G$2:$G$12
)</f>
        <v>100</v>
      </c>
    </row>
    <row r="63" spans="1:12" x14ac:dyDescent="0.25">
      <c r="A63" t="s">
        <v>52</v>
      </c>
      <c r="B63" t="s">
        <v>53</v>
      </c>
      <c r="C63">
        <v>12</v>
      </c>
      <c r="D63" t="s">
        <v>40</v>
      </c>
      <c r="E63" t="s">
        <v>237</v>
      </c>
      <c r="F63" t="s">
        <v>1890</v>
      </c>
      <c r="G63" s="7">
        <v>45150</v>
      </c>
      <c r="H63" t="s">
        <v>11</v>
      </c>
      <c r="I63" t="s">
        <v>29</v>
      </c>
      <c r="J63" t="s">
        <v>26</v>
      </c>
      <c r="K63">
        <f>INDEX('LAB PRICES'!$C$2:$F$12, MATCH(tblLabs[[#This Row],[Code]], 'LAB PRICES'!$A$2:$A$12, 0), MATCH(tblLabs[[#This Row],[Facility]], 'LAB PRICES'!$C$1:$F$1, 0))</f>
        <v>5</v>
      </c>
      <c r="L63">
        <f>_xlfn.XLOOKUP(
    tblLabs[[#This Row],[Code]],
    'LAB PRICES'!$A$2:$A$12,
    'LAB PRICES'!$G$2:$G$12
)</f>
        <v>27</v>
      </c>
    </row>
    <row r="64" spans="1:12" x14ac:dyDescent="0.25">
      <c r="A64" t="s">
        <v>52</v>
      </c>
      <c r="B64" t="s">
        <v>53</v>
      </c>
      <c r="C64">
        <v>8</v>
      </c>
      <c r="D64" t="s">
        <v>48</v>
      </c>
      <c r="E64" t="s">
        <v>1878</v>
      </c>
      <c r="F64" t="s">
        <v>1889</v>
      </c>
      <c r="G64" s="7">
        <v>45149</v>
      </c>
      <c r="H64" t="s">
        <v>11</v>
      </c>
      <c r="I64" t="s">
        <v>29</v>
      </c>
      <c r="J64" t="s">
        <v>26</v>
      </c>
      <c r="K64">
        <f>INDEX('LAB PRICES'!$C$2:$F$12, MATCH(tblLabs[[#This Row],[Code]], 'LAB PRICES'!$A$2:$A$12, 0), MATCH(tblLabs[[#This Row],[Facility]], 'LAB PRICES'!$C$1:$F$1, 0))</f>
        <v>5</v>
      </c>
      <c r="L64">
        <f>_xlfn.XLOOKUP(
    tblLabs[[#This Row],[Code]],
    'LAB PRICES'!$A$2:$A$12,
    'LAB PRICES'!$G$2:$G$12
)</f>
        <v>23</v>
      </c>
    </row>
    <row r="65" spans="1:12" x14ac:dyDescent="0.25">
      <c r="A65" t="s">
        <v>52</v>
      </c>
      <c r="B65" t="s">
        <v>53</v>
      </c>
      <c r="C65">
        <v>8</v>
      </c>
      <c r="D65" t="s">
        <v>45</v>
      </c>
      <c r="E65" t="s">
        <v>1878</v>
      </c>
      <c r="F65" t="s">
        <v>1889</v>
      </c>
      <c r="G65" s="7">
        <v>45149</v>
      </c>
      <c r="H65" t="s">
        <v>25</v>
      </c>
      <c r="I65" t="s">
        <v>36</v>
      </c>
      <c r="J65" t="s">
        <v>26</v>
      </c>
      <c r="K65">
        <f>INDEX('LAB PRICES'!$C$2:$F$12, MATCH(tblLabs[[#This Row],[Code]], 'LAB PRICES'!$A$2:$A$12, 0), MATCH(tblLabs[[#This Row],[Facility]], 'LAB PRICES'!$C$1:$F$1, 0))</f>
        <v>5</v>
      </c>
      <c r="L65">
        <f>_xlfn.XLOOKUP(
    tblLabs[[#This Row],[Code]],
    'LAB PRICES'!$A$2:$A$12,
    'LAB PRICES'!$G$2:$G$12
)</f>
        <v>23</v>
      </c>
    </row>
    <row r="66" spans="1:12" x14ac:dyDescent="0.25">
      <c r="A66" t="s">
        <v>52</v>
      </c>
      <c r="B66" t="s">
        <v>53</v>
      </c>
      <c r="C66">
        <v>14</v>
      </c>
      <c r="D66" t="s">
        <v>43</v>
      </c>
      <c r="E66" t="s">
        <v>1878</v>
      </c>
      <c r="F66" t="s">
        <v>1889</v>
      </c>
      <c r="G66" s="7">
        <v>45150</v>
      </c>
      <c r="H66" t="s">
        <v>11</v>
      </c>
      <c r="I66" t="s">
        <v>44</v>
      </c>
      <c r="J66" t="s">
        <v>26</v>
      </c>
      <c r="K66">
        <f>INDEX('LAB PRICES'!$C$2:$F$12, MATCH(tblLabs[[#This Row],[Code]], 'LAB PRICES'!$A$2:$A$12, 0), MATCH(tblLabs[[#This Row],[Facility]], 'LAB PRICES'!$C$1:$F$1, 0))</f>
        <v>5</v>
      </c>
      <c r="L66">
        <f>_xlfn.XLOOKUP(
    tblLabs[[#This Row],[Code]],
    'LAB PRICES'!$A$2:$A$12,
    'LAB PRICES'!$G$2:$G$12
)</f>
        <v>23</v>
      </c>
    </row>
    <row r="67" spans="1:12" x14ac:dyDescent="0.25">
      <c r="A67" t="s">
        <v>52</v>
      </c>
      <c r="B67" t="s">
        <v>53</v>
      </c>
      <c r="C67">
        <v>7</v>
      </c>
      <c r="D67" t="s">
        <v>32</v>
      </c>
      <c r="E67" t="s">
        <v>14</v>
      </c>
      <c r="F67" t="s">
        <v>1891</v>
      </c>
      <c r="G67" s="7">
        <v>45150</v>
      </c>
      <c r="H67" t="s">
        <v>25</v>
      </c>
      <c r="I67" t="s">
        <v>33</v>
      </c>
      <c r="J67" t="s">
        <v>26</v>
      </c>
      <c r="K67">
        <f>INDEX('LAB PRICES'!$C$2:$F$12, MATCH(tblLabs[[#This Row],[Code]], 'LAB PRICES'!$A$2:$A$12, 0), MATCH(tblLabs[[#This Row],[Facility]], 'LAB PRICES'!$C$1:$F$1, 0))</f>
        <v>30</v>
      </c>
      <c r="L67">
        <f>_xlfn.XLOOKUP(
    tblLabs[[#This Row],[Code]],
    'LAB PRICES'!$A$2:$A$12,
    'LAB PRICES'!$G$2:$G$12
)</f>
        <v>100</v>
      </c>
    </row>
    <row r="68" spans="1:12" x14ac:dyDescent="0.25">
      <c r="A68" t="s">
        <v>52</v>
      </c>
      <c r="B68" t="s">
        <v>53</v>
      </c>
      <c r="C68">
        <v>14</v>
      </c>
      <c r="D68" t="s">
        <v>46</v>
      </c>
      <c r="E68" t="s">
        <v>1878</v>
      </c>
      <c r="F68" t="s">
        <v>1889</v>
      </c>
      <c r="G68" s="7">
        <v>45150</v>
      </c>
      <c r="H68" t="s">
        <v>25</v>
      </c>
      <c r="I68" t="s">
        <v>47</v>
      </c>
      <c r="J68" t="s">
        <v>26</v>
      </c>
      <c r="K68">
        <f>INDEX('LAB PRICES'!$C$2:$F$12, MATCH(tblLabs[[#This Row],[Code]], 'LAB PRICES'!$A$2:$A$12, 0), MATCH(tblLabs[[#This Row],[Facility]], 'LAB PRICES'!$C$1:$F$1, 0))</f>
        <v>5</v>
      </c>
      <c r="L68">
        <f>_xlfn.XLOOKUP(
    tblLabs[[#This Row],[Code]],
    'LAB PRICES'!$A$2:$A$12,
    'LAB PRICES'!$G$2:$G$12
)</f>
        <v>23</v>
      </c>
    </row>
    <row r="69" spans="1:12" x14ac:dyDescent="0.25">
      <c r="A69" t="s">
        <v>52</v>
      </c>
      <c r="B69" t="s">
        <v>53</v>
      </c>
      <c r="C69">
        <v>4</v>
      </c>
      <c r="D69" t="s">
        <v>30</v>
      </c>
      <c r="E69" t="s">
        <v>14</v>
      </c>
      <c r="F69" t="s">
        <v>1891</v>
      </c>
      <c r="G69" s="7">
        <v>45150</v>
      </c>
      <c r="H69" t="s">
        <v>11</v>
      </c>
      <c r="I69" t="s">
        <v>31</v>
      </c>
      <c r="J69" t="s">
        <v>26</v>
      </c>
      <c r="K69">
        <f>INDEX('LAB PRICES'!$C$2:$F$12, MATCH(tblLabs[[#This Row],[Code]], 'LAB PRICES'!$A$2:$A$12, 0), MATCH(tblLabs[[#This Row],[Facility]], 'LAB PRICES'!$C$1:$F$1, 0))</f>
        <v>30</v>
      </c>
      <c r="L69">
        <f>_xlfn.XLOOKUP(
    tblLabs[[#This Row],[Code]],
    'LAB PRICES'!$A$2:$A$12,
    'LAB PRICES'!$G$2:$G$12
)</f>
        <v>100</v>
      </c>
    </row>
    <row r="70" spans="1:12" x14ac:dyDescent="0.25">
      <c r="A70" t="s">
        <v>52</v>
      </c>
      <c r="B70" t="s">
        <v>53</v>
      </c>
      <c r="C70">
        <v>20</v>
      </c>
      <c r="D70" t="s">
        <v>49</v>
      </c>
      <c r="E70" t="s">
        <v>237</v>
      </c>
      <c r="F70" t="s">
        <v>1890</v>
      </c>
      <c r="G70" s="7">
        <v>45150</v>
      </c>
      <c r="H70" t="s">
        <v>11</v>
      </c>
      <c r="I70" t="s">
        <v>31</v>
      </c>
      <c r="J70" t="s">
        <v>26</v>
      </c>
      <c r="K70">
        <f>INDEX('LAB PRICES'!$C$2:$F$12, MATCH(tblLabs[[#This Row],[Code]], 'LAB PRICES'!$A$2:$A$12, 0), MATCH(tblLabs[[#This Row],[Facility]], 'LAB PRICES'!$C$1:$F$1, 0))</f>
        <v>5</v>
      </c>
      <c r="L70">
        <f>_xlfn.XLOOKUP(
    tblLabs[[#This Row],[Code]],
    'LAB PRICES'!$A$2:$A$12,
    'LAB PRICES'!$G$2:$G$12
)</f>
        <v>27</v>
      </c>
    </row>
    <row r="71" spans="1:12" x14ac:dyDescent="0.25">
      <c r="A71" t="s">
        <v>52</v>
      </c>
      <c r="B71" t="s">
        <v>53</v>
      </c>
      <c r="C71">
        <v>17</v>
      </c>
      <c r="D71" t="s">
        <v>42</v>
      </c>
      <c r="E71" t="s">
        <v>237</v>
      </c>
      <c r="F71" t="s">
        <v>1890</v>
      </c>
      <c r="G71" s="7">
        <v>45150</v>
      </c>
      <c r="H71" t="s">
        <v>25</v>
      </c>
      <c r="I71" t="s">
        <v>33</v>
      </c>
      <c r="J71" t="s">
        <v>26</v>
      </c>
      <c r="K71">
        <f>INDEX('LAB PRICES'!$C$2:$F$12, MATCH(tblLabs[[#This Row],[Code]], 'LAB PRICES'!$A$2:$A$12, 0), MATCH(tblLabs[[#This Row],[Facility]], 'LAB PRICES'!$C$1:$F$1, 0))</f>
        <v>5</v>
      </c>
      <c r="L71">
        <f>_xlfn.XLOOKUP(
    tblLabs[[#This Row],[Code]],
    'LAB PRICES'!$A$2:$A$12,
    'LAB PRICES'!$G$2:$G$12
)</f>
        <v>27</v>
      </c>
    </row>
    <row r="72" spans="1:12" x14ac:dyDescent="0.25">
      <c r="A72" t="s">
        <v>52</v>
      </c>
      <c r="B72" t="s">
        <v>53</v>
      </c>
      <c r="C72">
        <v>8</v>
      </c>
      <c r="D72" t="s">
        <v>6</v>
      </c>
      <c r="E72" t="s">
        <v>1878</v>
      </c>
      <c r="F72" t="s">
        <v>1889</v>
      </c>
      <c r="G72" s="7">
        <v>45143</v>
      </c>
      <c r="H72" t="s">
        <v>7</v>
      </c>
      <c r="I72" t="s">
        <v>9</v>
      </c>
      <c r="J72" t="s">
        <v>8</v>
      </c>
      <c r="K72">
        <f>INDEX('LAB PRICES'!$C$2:$F$12, MATCH(tblLabs[[#This Row],[Code]], 'LAB PRICES'!$A$2:$A$12, 0), MATCH(tblLabs[[#This Row],[Facility]], 'LAB PRICES'!$C$1:$F$1, 0))</f>
        <v>6</v>
      </c>
      <c r="L72">
        <f>_xlfn.XLOOKUP(
    tblLabs[[#This Row],[Code]],
    'LAB PRICES'!$A$2:$A$12,
    'LAB PRICES'!$G$2:$G$12
)</f>
        <v>23</v>
      </c>
    </row>
    <row r="73" spans="1:12" x14ac:dyDescent="0.25">
      <c r="A73" t="s">
        <v>52</v>
      </c>
      <c r="B73" t="s">
        <v>53</v>
      </c>
      <c r="C73">
        <v>8</v>
      </c>
      <c r="D73" t="s">
        <v>10</v>
      </c>
      <c r="E73" t="s">
        <v>1878</v>
      </c>
      <c r="F73" t="s">
        <v>1889</v>
      </c>
      <c r="G73" s="7">
        <v>45143</v>
      </c>
      <c r="H73" t="s">
        <v>11</v>
      </c>
      <c r="I73" t="s">
        <v>12</v>
      </c>
      <c r="J73" t="s">
        <v>8</v>
      </c>
      <c r="K73">
        <f>INDEX('LAB PRICES'!$C$2:$F$12, MATCH(tblLabs[[#This Row],[Code]], 'LAB PRICES'!$A$2:$A$12, 0), MATCH(tblLabs[[#This Row],[Facility]], 'LAB PRICES'!$C$1:$F$1, 0))</f>
        <v>6</v>
      </c>
      <c r="L73">
        <f>_xlfn.XLOOKUP(
    tblLabs[[#This Row],[Code]],
    'LAB PRICES'!$A$2:$A$12,
    'LAB PRICES'!$G$2:$G$12
)</f>
        <v>23</v>
      </c>
    </row>
    <row r="74" spans="1:12" x14ac:dyDescent="0.25">
      <c r="A74" t="s">
        <v>52</v>
      </c>
      <c r="B74" t="s">
        <v>53</v>
      </c>
      <c r="C74">
        <v>5</v>
      </c>
      <c r="D74" t="s">
        <v>23</v>
      </c>
      <c r="E74" t="s">
        <v>14</v>
      </c>
      <c r="F74" t="s">
        <v>1891</v>
      </c>
      <c r="G74" s="7">
        <v>45206</v>
      </c>
      <c r="H74" t="s">
        <v>7</v>
      </c>
      <c r="I74" t="s">
        <v>19</v>
      </c>
      <c r="J74" t="s">
        <v>8</v>
      </c>
      <c r="K74">
        <f>INDEX('LAB PRICES'!$C$2:$F$12, MATCH(tblLabs[[#This Row],[Code]], 'LAB PRICES'!$A$2:$A$12, 0), MATCH(tblLabs[[#This Row],[Facility]], 'LAB PRICES'!$C$1:$F$1, 0))</f>
        <v>40</v>
      </c>
      <c r="L74">
        <f>_xlfn.XLOOKUP(
    tblLabs[[#This Row],[Code]],
    'LAB PRICES'!$A$2:$A$12,
    'LAB PRICES'!$G$2:$G$12
)</f>
        <v>100</v>
      </c>
    </row>
    <row r="75" spans="1:12" x14ac:dyDescent="0.25">
      <c r="A75" t="s">
        <v>52</v>
      </c>
      <c r="B75" t="s">
        <v>53</v>
      </c>
      <c r="C75">
        <v>12</v>
      </c>
      <c r="D75" t="s">
        <v>18</v>
      </c>
      <c r="E75" t="s">
        <v>1878</v>
      </c>
      <c r="F75" t="s">
        <v>1889</v>
      </c>
      <c r="G75" s="7">
        <v>45203</v>
      </c>
      <c r="H75" t="s">
        <v>7</v>
      </c>
      <c r="I75" t="s">
        <v>19</v>
      </c>
      <c r="J75" t="s">
        <v>8</v>
      </c>
      <c r="K75">
        <f>INDEX('LAB PRICES'!$C$2:$F$12, MATCH(tblLabs[[#This Row],[Code]], 'LAB PRICES'!$A$2:$A$12, 0), MATCH(tblLabs[[#This Row],[Facility]], 'LAB PRICES'!$C$1:$F$1, 0))</f>
        <v>6</v>
      </c>
      <c r="L75">
        <f>_xlfn.XLOOKUP(
    tblLabs[[#This Row],[Code]],
    'LAB PRICES'!$A$2:$A$12,
    'LAB PRICES'!$G$2:$G$12
)</f>
        <v>23</v>
      </c>
    </row>
    <row r="76" spans="1:12" x14ac:dyDescent="0.25">
      <c r="A76" t="s">
        <v>52</v>
      </c>
      <c r="B76" t="s">
        <v>53</v>
      </c>
      <c r="C76">
        <v>12</v>
      </c>
      <c r="D76" t="s">
        <v>22</v>
      </c>
      <c r="E76" t="s">
        <v>237</v>
      </c>
      <c r="F76" t="s">
        <v>1890</v>
      </c>
      <c r="G76" s="7">
        <v>45206</v>
      </c>
      <c r="H76" t="s">
        <v>7</v>
      </c>
      <c r="I76" t="s">
        <v>19</v>
      </c>
      <c r="J76" t="s">
        <v>8</v>
      </c>
      <c r="K76">
        <f>INDEX('LAB PRICES'!$C$2:$F$12, MATCH(tblLabs[[#This Row],[Code]], 'LAB PRICES'!$A$2:$A$12, 0), MATCH(tblLabs[[#This Row],[Facility]], 'LAB PRICES'!$C$1:$F$1, 0))</f>
        <v>6</v>
      </c>
      <c r="L76">
        <f>_xlfn.XLOOKUP(
    tblLabs[[#This Row],[Code]],
    'LAB PRICES'!$A$2:$A$12,
    'LAB PRICES'!$G$2:$G$12
)</f>
        <v>27</v>
      </c>
    </row>
    <row r="77" spans="1:12" x14ac:dyDescent="0.25">
      <c r="A77" t="s">
        <v>52</v>
      </c>
      <c r="B77" t="s">
        <v>53</v>
      </c>
      <c r="C77">
        <v>14</v>
      </c>
      <c r="D77" t="s">
        <v>20</v>
      </c>
      <c r="E77" t="s">
        <v>1878</v>
      </c>
      <c r="F77" t="s">
        <v>1889</v>
      </c>
      <c r="G77" s="7">
        <v>45205</v>
      </c>
      <c r="H77" t="s">
        <v>7</v>
      </c>
      <c r="I77" t="s">
        <v>19</v>
      </c>
      <c r="J77" t="s">
        <v>8</v>
      </c>
      <c r="K77">
        <f>INDEX('LAB PRICES'!$C$2:$F$12, MATCH(tblLabs[[#This Row],[Code]], 'LAB PRICES'!$A$2:$A$12, 0), MATCH(tblLabs[[#This Row],[Facility]], 'LAB PRICES'!$C$1:$F$1, 0))</f>
        <v>6</v>
      </c>
      <c r="L77">
        <f>_xlfn.XLOOKUP(
    tblLabs[[#This Row],[Code]],
    'LAB PRICES'!$A$2:$A$12,
    'LAB PRICES'!$G$2:$G$12
)</f>
        <v>23</v>
      </c>
    </row>
    <row r="78" spans="1:12" x14ac:dyDescent="0.25">
      <c r="A78" t="s">
        <v>52</v>
      </c>
      <c r="B78" t="s">
        <v>53</v>
      </c>
      <c r="C78">
        <v>12</v>
      </c>
      <c r="D78" t="s">
        <v>21</v>
      </c>
      <c r="E78" t="s">
        <v>1878</v>
      </c>
      <c r="F78" t="s">
        <v>1889</v>
      </c>
      <c r="G78" s="7">
        <v>45205</v>
      </c>
      <c r="H78" t="s">
        <v>7</v>
      </c>
      <c r="I78" t="s">
        <v>19</v>
      </c>
      <c r="J78" t="s">
        <v>8</v>
      </c>
      <c r="K78">
        <f>INDEX('LAB PRICES'!$C$2:$F$12, MATCH(tblLabs[[#This Row],[Code]], 'LAB PRICES'!$A$2:$A$12, 0), MATCH(tblLabs[[#This Row],[Facility]], 'LAB PRICES'!$C$1:$F$1, 0))</f>
        <v>6</v>
      </c>
      <c r="L78">
        <f>_xlfn.XLOOKUP(
    tblLabs[[#This Row],[Code]],
    'LAB PRICES'!$A$2:$A$12,
    'LAB PRICES'!$G$2:$G$12
)</f>
        <v>23</v>
      </c>
    </row>
    <row r="79" spans="1:12" x14ac:dyDescent="0.25">
      <c r="A79" t="s">
        <v>217</v>
      </c>
      <c r="B79" t="s">
        <v>218</v>
      </c>
      <c r="C79">
        <v>5</v>
      </c>
      <c r="D79" t="s">
        <v>212</v>
      </c>
      <c r="E79" t="s">
        <v>14</v>
      </c>
      <c r="F79" t="s">
        <v>1891</v>
      </c>
      <c r="G79" s="7">
        <v>45220</v>
      </c>
      <c r="H79" t="s">
        <v>7</v>
      </c>
      <c r="I79" t="s">
        <v>207</v>
      </c>
      <c r="J79" t="s">
        <v>8</v>
      </c>
      <c r="K79">
        <f>INDEX('LAB PRICES'!$C$2:$F$12, MATCH(tblLabs[[#This Row],[Code]], 'LAB PRICES'!$A$2:$A$12, 0), MATCH(tblLabs[[#This Row],[Facility]], 'LAB PRICES'!$C$1:$F$1, 0))</f>
        <v>40</v>
      </c>
      <c r="L79">
        <f>_xlfn.XLOOKUP(
    tblLabs[[#This Row],[Code]],
    'LAB PRICES'!$A$2:$A$12,
    'LAB PRICES'!$G$2:$G$12
)</f>
        <v>100</v>
      </c>
    </row>
    <row r="80" spans="1:12" x14ac:dyDescent="0.25">
      <c r="A80" t="s">
        <v>217</v>
      </c>
      <c r="B80" t="s">
        <v>218</v>
      </c>
      <c r="C80">
        <v>5</v>
      </c>
      <c r="D80" t="s">
        <v>213</v>
      </c>
      <c r="E80" t="s">
        <v>14</v>
      </c>
      <c r="F80" t="s">
        <v>1891</v>
      </c>
      <c r="G80" s="7">
        <v>45220</v>
      </c>
      <c r="H80" t="s">
        <v>62</v>
      </c>
      <c r="I80" t="s">
        <v>211</v>
      </c>
      <c r="J80" t="s">
        <v>8</v>
      </c>
      <c r="K80">
        <f>INDEX('LAB PRICES'!$C$2:$F$12, MATCH(tblLabs[[#This Row],[Code]], 'LAB PRICES'!$A$2:$A$12, 0), MATCH(tblLabs[[#This Row],[Facility]], 'LAB PRICES'!$C$1:$F$1, 0))</f>
        <v>40</v>
      </c>
      <c r="L80">
        <f>_xlfn.XLOOKUP(
    tblLabs[[#This Row],[Code]],
    'LAB PRICES'!$A$2:$A$12,
    'LAB PRICES'!$G$2:$G$12
)</f>
        <v>100</v>
      </c>
    </row>
    <row r="81" spans="1:12" x14ac:dyDescent="0.25">
      <c r="A81" t="s">
        <v>217</v>
      </c>
      <c r="B81" t="s">
        <v>218</v>
      </c>
      <c r="C81">
        <v>22</v>
      </c>
      <c r="D81" t="s">
        <v>206</v>
      </c>
      <c r="E81" t="s">
        <v>1878</v>
      </c>
      <c r="F81" t="s">
        <v>1889</v>
      </c>
      <c r="G81" s="7">
        <v>45218</v>
      </c>
      <c r="H81" t="s">
        <v>7</v>
      </c>
      <c r="I81" t="s">
        <v>207</v>
      </c>
      <c r="J81" t="s">
        <v>8</v>
      </c>
      <c r="K81">
        <f>INDEX('LAB PRICES'!$C$2:$F$12, MATCH(tblLabs[[#This Row],[Code]], 'LAB PRICES'!$A$2:$A$12, 0), MATCH(tblLabs[[#This Row],[Facility]], 'LAB PRICES'!$C$1:$F$1, 0))</f>
        <v>6</v>
      </c>
      <c r="L81">
        <f>_xlfn.XLOOKUP(
    tblLabs[[#This Row],[Code]],
    'LAB PRICES'!$A$2:$A$12,
    'LAB PRICES'!$G$2:$G$12
)</f>
        <v>23</v>
      </c>
    </row>
    <row r="82" spans="1:12" x14ac:dyDescent="0.25">
      <c r="A82" t="s">
        <v>217</v>
      </c>
      <c r="B82" t="s">
        <v>218</v>
      </c>
      <c r="C82">
        <v>12</v>
      </c>
      <c r="D82" t="s">
        <v>209</v>
      </c>
      <c r="E82" t="s">
        <v>237</v>
      </c>
      <c r="F82" t="s">
        <v>1890</v>
      </c>
      <c r="G82" s="7">
        <v>45220</v>
      </c>
      <c r="H82" t="s">
        <v>7</v>
      </c>
      <c r="I82" t="s">
        <v>207</v>
      </c>
      <c r="J82" t="s">
        <v>8</v>
      </c>
      <c r="K82">
        <f>INDEX('LAB PRICES'!$C$2:$F$12, MATCH(tblLabs[[#This Row],[Code]], 'LAB PRICES'!$A$2:$A$12, 0), MATCH(tblLabs[[#This Row],[Facility]], 'LAB PRICES'!$C$1:$F$1, 0))</f>
        <v>6</v>
      </c>
      <c r="L82">
        <f>_xlfn.XLOOKUP(
    tblLabs[[#This Row],[Code]],
    'LAB PRICES'!$A$2:$A$12,
    'LAB PRICES'!$G$2:$G$12
)</f>
        <v>27</v>
      </c>
    </row>
    <row r="83" spans="1:12" x14ac:dyDescent="0.25">
      <c r="A83" t="s">
        <v>217</v>
      </c>
      <c r="B83" t="s">
        <v>218</v>
      </c>
      <c r="C83">
        <v>12</v>
      </c>
      <c r="D83" t="s">
        <v>210</v>
      </c>
      <c r="E83" t="s">
        <v>237</v>
      </c>
      <c r="F83" t="s">
        <v>1890</v>
      </c>
      <c r="G83" s="7">
        <v>45220</v>
      </c>
      <c r="H83" t="s">
        <v>62</v>
      </c>
      <c r="I83" t="s">
        <v>211</v>
      </c>
      <c r="J83" t="s">
        <v>8</v>
      </c>
      <c r="K83">
        <f>INDEX('LAB PRICES'!$C$2:$F$12, MATCH(tblLabs[[#This Row],[Code]], 'LAB PRICES'!$A$2:$A$12, 0), MATCH(tblLabs[[#This Row],[Facility]], 'LAB PRICES'!$C$1:$F$1, 0))</f>
        <v>6</v>
      </c>
      <c r="L83">
        <f>_xlfn.XLOOKUP(
    tblLabs[[#This Row],[Code]],
    'LAB PRICES'!$A$2:$A$12,
    'LAB PRICES'!$G$2:$G$12
)</f>
        <v>27</v>
      </c>
    </row>
    <row r="84" spans="1:12" x14ac:dyDescent="0.25">
      <c r="A84" t="s">
        <v>217</v>
      </c>
      <c r="B84" t="s">
        <v>218</v>
      </c>
      <c r="C84">
        <v>12</v>
      </c>
      <c r="D84" t="s">
        <v>208</v>
      </c>
      <c r="E84" t="s">
        <v>1878</v>
      </c>
      <c r="F84" t="s">
        <v>1889</v>
      </c>
      <c r="G84" s="7">
        <v>45219</v>
      </c>
      <c r="H84" t="s">
        <v>7</v>
      </c>
      <c r="I84" t="s">
        <v>207</v>
      </c>
      <c r="J84" t="s">
        <v>8</v>
      </c>
      <c r="K84">
        <f>INDEX('LAB PRICES'!$C$2:$F$12, MATCH(tblLabs[[#This Row],[Code]], 'LAB PRICES'!$A$2:$A$12, 0), MATCH(tblLabs[[#This Row],[Facility]], 'LAB PRICES'!$C$1:$F$1, 0))</f>
        <v>6</v>
      </c>
      <c r="L84">
        <f>_xlfn.XLOOKUP(
    tblLabs[[#This Row],[Code]],
    'LAB PRICES'!$A$2:$A$12,
    'LAB PRICES'!$G$2:$G$12
)</f>
        <v>23</v>
      </c>
    </row>
    <row r="85" spans="1:12" x14ac:dyDescent="0.25">
      <c r="A85" t="s">
        <v>217</v>
      </c>
      <c r="B85" t="s">
        <v>218</v>
      </c>
      <c r="D85" t="s">
        <v>216</v>
      </c>
      <c r="E85" t="s">
        <v>1878</v>
      </c>
      <c r="F85" t="s">
        <v>1889</v>
      </c>
      <c r="G85" s="7">
        <v>45219</v>
      </c>
      <c r="H85" t="s">
        <v>62</v>
      </c>
      <c r="I85" t="s">
        <v>211</v>
      </c>
      <c r="J85" t="s">
        <v>8</v>
      </c>
      <c r="K85">
        <f>INDEX('LAB PRICES'!$C$2:$F$12, MATCH(tblLabs[[#This Row],[Code]], 'LAB PRICES'!$A$2:$A$12, 0), MATCH(tblLabs[[#This Row],[Facility]], 'LAB PRICES'!$C$1:$F$1, 0))</f>
        <v>6</v>
      </c>
      <c r="L85">
        <f>_xlfn.XLOOKUP(
    tblLabs[[#This Row],[Code]],
    'LAB PRICES'!$A$2:$A$12,
    'LAB PRICES'!$G$2:$G$12
)</f>
        <v>23</v>
      </c>
    </row>
    <row r="86" spans="1:12" x14ac:dyDescent="0.25">
      <c r="A86" t="s">
        <v>217</v>
      </c>
      <c r="B86" t="s">
        <v>218</v>
      </c>
      <c r="D86" t="s">
        <v>215</v>
      </c>
      <c r="E86" t="s">
        <v>1878</v>
      </c>
      <c r="F86" t="s">
        <v>1889</v>
      </c>
      <c r="G86" s="7">
        <v>45219</v>
      </c>
      <c r="H86" t="s">
        <v>7</v>
      </c>
      <c r="I86" t="s">
        <v>207</v>
      </c>
      <c r="J86" t="s">
        <v>8</v>
      </c>
      <c r="K86">
        <f>INDEX('LAB PRICES'!$C$2:$F$12, MATCH(tblLabs[[#This Row],[Code]], 'LAB PRICES'!$A$2:$A$12, 0), MATCH(tblLabs[[#This Row],[Facility]], 'LAB PRICES'!$C$1:$F$1, 0))</f>
        <v>6</v>
      </c>
      <c r="L86">
        <f>_xlfn.XLOOKUP(
    tblLabs[[#This Row],[Code]],
    'LAB PRICES'!$A$2:$A$12,
    'LAB PRICES'!$G$2:$G$12
)</f>
        <v>23</v>
      </c>
    </row>
    <row r="87" spans="1:12" x14ac:dyDescent="0.25">
      <c r="A87" t="s">
        <v>217</v>
      </c>
      <c r="B87" t="s">
        <v>218</v>
      </c>
      <c r="D87" t="s">
        <v>214</v>
      </c>
      <c r="E87" t="s">
        <v>1878</v>
      </c>
      <c r="F87" t="s">
        <v>1889</v>
      </c>
      <c r="G87" s="7">
        <v>45219</v>
      </c>
      <c r="H87" t="s">
        <v>62</v>
      </c>
      <c r="I87" t="s">
        <v>211</v>
      </c>
      <c r="J87" t="s">
        <v>8</v>
      </c>
      <c r="K87">
        <f>INDEX('LAB PRICES'!$C$2:$F$12, MATCH(tblLabs[[#This Row],[Code]], 'LAB PRICES'!$A$2:$A$12, 0), MATCH(tblLabs[[#This Row],[Facility]], 'LAB PRICES'!$C$1:$F$1, 0))</f>
        <v>6</v>
      </c>
      <c r="L87">
        <f>_xlfn.XLOOKUP(
    tblLabs[[#This Row],[Code]],
    'LAB PRICES'!$A$2:$A$12,
    'LAB PRICES'!$G$2:$G$12
)</f>
        <v>23</v>
      </c>
    </row>
    <row r="88" spans="1:12" x14ac:dyDescent="0.25">
      <c r="A88" t="s">
        <v>201</v>
      </c>
      <c r="B88" t="s">
        <v>94</v>
      </c>
      <c r="C88">
        <v>12</v>
      </c>
      <c r="D88" t="s">
        <v>199</v>
      </c>
      <c r="E88" t="s">
        <v>1878</v>
      </c>
      <c r="F88" t="s">
        <v>1889</v>
      </c>
      <c r="G88" s="7">
        <v>45275</v>
      </c>
      <c r="H88" t="s">
        <v>142</v>
      </c>
      <c r="I88" t="s">
        <v>200</v>
      </c>
      <c r="J88" t="s">
        <v>8</v>
      </c>
      <c r="K88">
        <f>INDEX('LAB PRICES'!$C$2:$F$12, MATCH(tblLabs[[#This Row],[Code]], 'LAB PRICES'!$A$2:$A$12, 0), MATCH(tblLabs[[#This Row],[Facility]], 'LAB PRICES'!$C$1:$F$1, 0))</f>
        <v>6</v>
      </c>
      <c r="L88">
        <f>_xlfn.XLOOKUP(
    tblLabs[[#This Row],[Code]],
    'LAB PRICES'!$A$2:$A$12,
    'LAB PRICES'!$G$2:$G$12
)</f>
        <v>23</v>
      </c>
    </row>
    <row r="89" spans="1:12" x14ac:dyDescent="0.25">
      <c r="A89" t="s">
        <v>201</v>
      </c>
      <c r="B89" t="s">
        <v>94</v>
      </c>
      <c r="C89">
        <v>11</v>
      </c>
      <c r="D89" t="s">
        <v>202</v>
      </c>
      <c r="E89" t="s">
        <v>1878</v>
      </c>
      <c r="F89" t="s">
        <v>1889</v>
      </c>
      <c r="G89" s="7">
        <v>45276</v>
      </c>
      <c r="H89" t="s">
        <v>71</v>
      </c>
      <c r="I89" t="s">
        <v>200</v>
      </c>
      <c r="J89" t="s">
        <v>8</v>
      </c>
      <c r="K89">
        <f>INDEX('LAB PRICES'!$C$2:$F$12, MATCH(tblLabs[[#This Row],[Code]], 'LAB PRICES'!$A$2:$A$12, 0), MATCH(tblLabs[[#This Row],[Facility]], 'LAB PRICES'!$C$1:$F$1, 0))</f>
        <v>6</v>
      </c>
      <c r="L89">
        <f>_xlfn.XLOOKUP(
    tblLabs[[#This Row],[Code]],
    'LAB PRICES'!$A$2:$A$12,
    'LAB PRICES'!$G$2:$G$12
)</f>
        <v>23</v>
      </c>
    </row>
    <row r="90" spans="1:12" x14ac:dyDescent="0.25">
      <c r="A90" t="s">
        <v>201</v>
      </c>
      <c r="B90" t="s">
        <v>94</v>
      </c>
      <c r="C90">
        <v>7</v>
      </c>
      <c r="D90" t="s">
        <v>203</v>
      </c>
      <c r="E90" t="s">
        <v>1878</v>
      </c>
      <c r="F90" t="s">
        <v>1889</v>
      </c>
      <c r="G90" s="7">
        <v>45276</v>
      </c>
      <c r="H90" t="s">
        <v>71</v>
      </c>
      <c r="I90" t="s">
        <v>200</v>
      </c>
      <c r="J90" t="s">
        <v>8</v>
      </c>
      <c r="K90">
        <f>INDEX('LAB PRICES'!$C$2:$F$12, MATCH(tblLabs[[#This Row],[Code]], 'LAB PRICES'!$A$2:$A$12, 0), MATCH(tblLabs[[#This Row],[Facility]], 'LAB PRICES'!$C$1:$F$1, 0))</f>
        <v>6</v>
      </c>
      <c r="L90">
        <f>_xlfn.XLOOKUP(
    tblLabs[[#This Row],[Code]],
    'LAB PRICES'!$A$2:$A$12,
    'LAB PRICES'!$G$2:$G$12
)</f>
        <v>23</v>
      </c>
    </row>
    <row r="91" spans="1:12" x14ac:dyDescent="0.25">
      <c r="A91" t="s">
        <v>201</v>
      </c>
      <c r="B91" t="s">
        <v>94</v>
      </c>
      <c r="C91">
        <v>17</v>
      </c>
      <c r="D91" t="s">
        <v>204</v>
      </c>
      <c r="E91" t="s">
        <v>237</v>
      </c>
      <c r="F91" t="s">
        <v>1890</v>
      </c>
      <c r="G91" s="7">
        <v>45277</v>
      </c>
      <c r="H91" t="s">
        <v>71</v>
      </c>
      <c r="I91" t="s">
        <v>200</v>
      </c>
      <c r="J91" t="s">
        <v>8</v>
      </c>
      <c r="K91">
        <f>INDEX('LAB PRICES'!$C$2:$F$12, MATCH(tblLabs[[#This Row],[Code]], 'LAB PRICES'!$A$2:$A$12, 0), MATCH(tblLabs[[#This Row],[Facility]], 'LAB PRICES'!$C$1:$F$1, 0))</f>
        <v>6</v>
      </c>
      <c r="L91">
        <f>_xlfn.XLOOKUP(
    tblLabs[[#This Row],[Code]],
    'LAB PRICES'!$A$2:$A$12,
    'LAB PRICES'!$G$2:$G$12
)</f>
        <v>27</v>
      </c>
    </row>
    <row r="92" spans="1:12" x14ac:dyDescent="0.25">
      <c r="A92" t="s">
        <v>78</v>
      </c>
      <c r="B92" t="s">
        <v>79</v>
      </c>
      <c r="C92">
        <v>9</v>
      </c>
      <c r="D92" t="s">
        <v>2571</v>
      </c>
      <c r="E92" t="s">
        <v>61</v>
      </c>
      <c r="F92" t="s">
        <v>1892</v>
      </c>
      <c r="G92" s="7">
        <v>45131</v>
      </c>
      <c r="H92" t="s">
        <v>62</v>
      </c>
      <c r="I92" t="s">
        <v>63</v>
      </c>
      <c r="J92" t="s">
        <v>8</v>
      </c>
      <c r="K92">
        <f>INDEX('LAB PRICES'!$C$2:$F$12, MATCH(tblLabs[[#This Row],[Code]], 'LAB PRICES'!$A$2:$A$12, 0), MATCH(tblLabs[[#This Row],[Facility]], 'LAB PRICES'!$C$1:$F$1, 0))</f>
        <v>16</v>
      </c>
      <c r="L92">
        <f>_xlfn.XLOOKUP(
    tblLabs[[#This Row],[Code]],
    'LAB PRICES'!$A$2:$A$12,
    'LAB PRICES'!$G$2:$G$12
)</f>
        <v>23</v>
      </c>
    </row>
    <row r="93" spans="1:12" x14ac:dyDescent="0.25">
      <c r="A93" t="s">
        <v>78</v>
      </c>
      <c r="B93" t="s">
        <v>79</v>
      </c>
      <c r="C93">
        <v>9</v>
      </c>
      <c r="D93" t="s">
        <v>2584</v>
      </c>
      <c r="E93" t="s">
        <v>466</v>
      </c>
      <c r="F93" t="s">
        <v>1893</v>
      </c>
      <c r="G93" s="7">
        <v>45131</v>
      </c>
      <c r="H93" t="s">
        <v>62</v>
      </c>
      <c r="I93" t="s">
        <v>63</v>
      </c>
      <c r="J93" t="s">
        <v>8</v>
      </c>
      <c r="K93">
        <f>INDEX('LAB PRICES'!$C$2:$F$12, MATCH(tblLabs[[#This Row],[Code]], 'LAB PRICES'!$A$2:$A$12, 0), MATCH(tblLabs[[#This Row],[Facility]], 'LAB PRICES'!$C$1:$F$1, 0))</f>
        <v>6</v>
      </c>
      <c r="L93">
        <f>_xlfn.XLOOKUP(
    tblLabs[[#This Row],[Code]],
    'LAB PRICES'!$A$2:$A$12,
    'LAB PRICES'!$G$2:$G$12
)</f>
        <v>40</v>
      </c>
    </row>
    <row r="94" spans="1:12" x14ac:dyDescent="0.25">
      <c r="A94" t="s">
        <v>78</v>
      </c>
      <c r="B94" t="s">
        <v>79</v>
      </c>
      <c r="C94">
        <v>9</v>
      </c>
      <c r="D94" t="s">
        <v>2595</v>
      </c>
      <c r="E94" t="s">
        <v>467</v>
      </c>
      <c r="F94" t="s">
        <v>1894</v>
      </c>
      <c r="G94" s="7">
        <v>45131</v>
      </c>
      <c r="H94" t="s">
        <v>62</v>
      </c>
      <c r="I94" t="s">
        <v>63</v>
      </c>
      <c r="J94" t="s">
        <v>8</v>
      </c>
      <c r="K94">
        <f>INDEX('LAB PRICES'!$C$2:$F$12, MATCH(tblLabs[[#This Row],[Code]], 'LAB PRICES'!$A$2:$A$12, 0), MATCH(tblLabs[[#This Row],[Facility]], 'LAB PRICES'!$C$1:$F$1, 0))</f>
        <v>26</v>
      </c>
      <c r="L94">
        <f>_xlfn.XLOOKUP(
    tblLabs[[#This Row],[Code]],
    'LAB PRICES'!$A$2:$A$12,
    'LAB PRICES'!$G$2:$G$12
)</f>
        <v>70</v>
      </c>
    </row>
    <row r="95" spans="1:12" x14ac:dyDescent="0.25">
      <c r="A95" t="s">
        <v>78</v>
      </c>
      <c r="B95" t="s">
        <v>79</v>
      </c>
      <c r="C95">
        <v>12</v>
      </c>
      <c r="D95" t="s">
        <v>76</v>
      </c>
      <c r="E95" t="s">
        <v>237</v>
      </c>
      <c r="F95" t="s">
        <v>1890</v>
      </c>
      <c r="G95" s="7">
        <v>45161</v>
      </c>
      <c r="H95" t="s">
        <v>71</v>
      </c>
      <c r="I95" t="s">
        <v>72</v>
      </c>
      <c r="J95" t="s">
        <v>8</v>
      </c>
      <c r="K95">
        <f>INDEX('LAB PRICES'!$C$2:$F$12, MATCH(tblLabs[[#This Row],[Code]], 'LAB PRICES'!$A$2:$A$12, 0), MATCH(tblLabs[[#This Row],[Facility]], 'LAB PRICES'!$C$1:$F$1, 0))</f>
        <v>6</v>
      </c>
      <c r="L95">
        <f>_xlfn.XLOOKUP(
    tblLabs[[#This Row],[Code]],
    'LAB PRICES'!$A$2:$A$12,
    'LAB PRICES'!$G$2:$G$12
)</f>
        <v>27</v>
      </c>
    </row>
    <row r="96" spans="1:12" x14ac:dyDescent="0.25">
      <c r="A96" t="s">
        <v>78</v>
      </c>
      <c r="B96" t="s">
        <v>79</v>
      </c>
      <c r="C96">
        <v>27</v>
      </c>
      <c r="D96" t="s">
        <v>75</v>
      </c>
      <c r="E96" t="s">
        <v>1878</v>
      </c>
      <c r="F96" t="s">
        <v>1889</v>
      </c>
      <c r="G96" s="7">
        <v>45161</v>
      </c>
      <c r="H96" t="s">
        <v>71</v>
      </c>
      <c r="I96" t="s">
        <v>72</v>
      </c>
      <c r="J96" t="s">
        <v>8</v>
      </c>
      <c r="K96">
        <f>INDEX('LAB PRICES'!$C$2:$F$12, MATCH(tblLabs[[#This Row],[Code]], 'LAB PRICES'!$A$2:$A$12, 0), MATCH(tblLabs[[#This Row],[Facility]], 'LAB PRICES'!$C$1:$F$1, 0))</f>
        <v>6</v>
      </c>
      <c r="L96">
        <f>_xlfn.XLOOKUP(
    tblLabs[[#This Row],[Code]],
    'LAB PRICES'!$A$2:$A$12,
    'LAB PRICES'!$G$2:$G$12
)</f>
        <v>23</v>
      </c>
    </row>
    <row r="97" spans="1:12" x14ac:dyDescent="0.25">
      <c r="A97" t="s">
        <v>78</v>
      </c>
      <c r="B97" t="s">
        <v>79</v>
      </c>
      <c r="C97">
        <v>5</v>
      </c>
      <c r="D97" t="s">
        <v>69</v>
      </c>
      <c r="E97" t="s">
        <v>14</v>
      </c>
      <c r="F97" t="s">
        <v>1891</v>
      </c>
      <c r="G97" s="7">
        <v>45156</v>
      </c>
      <c r="H97" t="s">
        <v>7</v>
      </c>
      <c r="I97" t="s">
        <v>65</v>
      </c>
      <c r="J97" t="s">
        <v>8</v>
      </c>
      <c r="K97">
        <f>INDEX('LAB PRICES'!$C$2:$F$12, MATCH(tblLabs[[#This Row],[Code]], 'LAB PRICES'!$A$2:$A$12, 0), MATCH(tblLabs[[#This Row],[Facility]], 'LAB PRICES'!$C$1:$F$1, 0))</f>
        <v>40</v>
      </c>
      <c r="L97">
        <f>_xlfn.XLOOKUP(
    tblLabs[[#This Row],[Code]],
    'LAB PRICES'!$A$2:$A$12,
    'LAB PRICES'!$G$2:$G$12
)</f>
        <v>100</v>
      </c>
    </row>
    <row r="98" spans="1:12" x14ac:dyDescent="0.25">
      <c r="A98" t="s">
        <v>78</v>
      </c>
      <c r="B98" t="s">
        <v>79</v>
      </c>
      <c r="C98">
        <v>5</v>
      </c>
      <c r="D98" t="s">
        <v>77</v>
      </c>
      <c r="E98" t="s">
        <v>14</v>
      </c>
      <c r="F98" t="s">
        <v>1891</v>
      </c>
      <c r="G98" s="7">
        <v>45161</v>
      </c>
      <c r="H98" t="s">
        <v>71</v>
      </c>
      <c r="I98" t="s">
        <v>72</v>
      </c>
      <c r="J98" t="s">
        <v>8</v>
      </c>
      <c r="K98">
        <f>INDEX('LAB PRICES'!$C$2:$F$12, MATCH(tblLabs[[#This Row],[Code]], 'LAB PRICES'!$A$2:$A$12, 0), MATCH(tblLabs[[#This Row],[Facility]], 'LAB PRICES'!$C$1:$F$1, 0))</f>
        <v>40</v>
      </c>
      <c r="L98">
        <f>_xlfn.XLOOKUP(
    tblLabs[[#This Row],[Code]],
    'LAB PRICES'!$A$2:$A$12,
    'LAB PRICES'!$G$2:$G$12
)</f>
        <v>100</v>
      </c>
    </row>
    <row r="99" spans="1:12" x14ac:dyDescent="0.25">
      <c r="A99" t="s">
        <v>78</v>
      </c>
      <c r="B99" t="s">
        <v>79</v>
      </c>
      <c r="C99">
        <v>12</v>
      </c>
      <c r="D99" t="s">
        <v>64</v>
      </c>
      <c r="E99" t="s">
        <v>1878</v>
      </c>
      <c r="F99" t="s">
        <v>1889</v>
      </c>
      <c r="G99" s="7">
        <v>45153</v>
      </c>
      <c r="H99" t="s">
        <v>7</v>
      </c>
      <c r="I99" t="s">
        <v>65</v>
      </c>
      <c r="J99" t="s">
        <v>8</v>
      </c>
      <c r="K99">
        <f>INDEX('LAB PRICES'!$C$2:$F$12, MATCH(tblLabs[[#This Row],[Code]], 'LAB PRICES'!$A$2:$A$12, 0), MATCH(tblLabs[[#This Row],[Facility]], 'LAB PRICES'!$C$1:$F$1, 0))</f>
        <v>6</v>
      </c>
      <c r="L99">
        <f>_xlfn.XLOOKUP(
    tblLabs[[#This Row],[Code]],
    'LAB PRICES'!$A$2:$A$12,
    'LAB PRICES'!$G$2:$G$12
)</f>
        <v>23</v>
      </c>
    </row>
    <row r="100" spans="1:12" x14ac:dyDescent="0.25">
      <c r="A100" t="s">
        <v>78</v>
      </c>
      <c r="B100" t="s">
        <v>79</v>
      </c>
      <c r="C100">
        <v>12</v>
      </c>
      <c r="D100" t="s">
        <v>68</v>
      </c>
      <c r="E100" t="s">
        <v>237</v>
      </c>
      <c r="F100" t="s">
        <v>1890</v>
      </c>
      <c r="G100" s="7">
        <v>45156</v>
      </c>
      <c r="H100" t="s">
        <v>7</v>
      </c>
      <c r="I100" t="s">
        <v>65</v>
      </c>
      <c r="J100" t="s">
        <v>8</v>
      </c>
      <c r="K100">
        <f>INDEX('LAB PRICES'!$C$2:$F$12, MATCH(tblLabs[[#This Row],[Code]], 'LAB PRICES'!$A$2:$A$12, 0), MATCH(tblLabs[[#This Row],[Facility]], 'LAB PRICES'!$C$1:$F$1, 0))</f>
        <v>6</v>
      </c>
      <c r="L100">
        <f>_xlfn.XLOOKUP(
    tblLabs[[#This Row],[Code]],
    'LAB PRICES'!$A$2:$A$12,
    'LAB PRICES'!$G$2:$G$12
)</f>
        <v>27</v>
      </c>
    </row>
    <row r="101" spans="1:12" x14ac:dyDescent="0.25">
      <c r="A101" t="s">
        <v>78</v>
      </c>
      <c r="B101" t="s">
        <v>79</v>
      </c>
      <c r="C101">
        <v>12</v>
      </c>
      <c r="D101" t="s">
        <v>66</v>
      </c>
      <c r="E101" t="s">
        <v>1878</v>
      </c>
      <c r="F101" t="s">
        <v>1889</v>
      </c>
      <c r="G101" s="7">
        <v>45155</v>
      </c>
      <c r="H101" t="s">
        <v>7</v>
      </c>
      <c r="I101" t="s">
        <v>65</v>
      </c>
      <c r="J101" t="s">
        <v>8</v>
      </c>
      <c r="K101">
        <f>INDEX('LAB PRICES'!$C$2:$F$12, MATCH(tblLabs[[#This Row],[Code]], 'LAB PRICES'!$A$2:$A$12, 0), MATCH(tblLabs[[#This Row],[Facility]], 'LAB PRICES'!$C$1:$F$1, 0))</f>
        <v>6</v>
      </c>
      <c r="L101">
        <f>_xlfn.XLOOKUP(
    tblLabs[[#This Row],[Code]],
    'LAB PRICES'!$A$2:$A$12,
    'LAB PRICES'!$G$2:$G$12
)</f>
        <v>23</v>
      </c>
    </row>
    <row r="102" spans="1:12" x14ac:dyDescent="0.25">
      <c r="A102" t="s">
        <v>78</v>
      </c>
      <c r="B102" t="s">
        <v>79</v>
      </c>
      <c r="C102">
        <v>14</v>
      </c>
      <c r="D102" t="s">
        <v>67</v>
      </c>
      <c r="E102" t="s">
        <v>1878</v>
      </c>
      <c r="F102" t="s">
        <v>1889</v>
      </c>
      <c r="G102" s="7">
        <v>45155</v>
      </c>
      <c r="H102" t="s">
        <v>7</v>
      </c>
      <c r="I102" t="s">
        <v>65</v>
      </c>
      <c r="J102" t="s">
        <v>8</v>
      </c>
      <c r="K102">
        <f>INDEX('LAB PRICES'!$C$2:$F$12, MATCH(tblLabs[[#This Row],[Code]], 'LAB PRICES'!$A$2:$A$12, 0), MATCH(tblLabs[[#This Row],[Facility]], 'LAB PRICES'!$C$1:$F$1, 0))</f>
        <v>6</v>
      </c>
      <c r="L102">
        <f>_xlfn.XLOOKUP(
    tblLabs[[#This Row],[Code]],
    'LAB PRICES'!$A$2:$A$12,
    'LAB PRICES'!$G$2:$G$12
)</f>
        <v>23</v>
      </c>
    </row>
    <row r="103" spans="1:12" x14ac:dyDescent="0.25">
      <c r="A103" t="s">
        <v>78</v>
      </c>
      <c r="B103" t="s">
        <v>79</v>
      </c>
      <c r="C103">
        <v>12</v>
      </c>
      <c r="D103" t="s">
        <v>70</v>
      </c>
      <c r="E103" t="s">
        <v>1878</v>
      </c>
      <c r="F103" t="s">
        <v>1889</v>
      </c>
      <c r="G103" s="7">
        <v>45156</v>
      </c>
      <c r="H103" t="s">
        <v>71</v>
      </c>
      <c r="I103" t="s">
        <v>72</v>
      </c>
      <c r="J103" t="s">
        <v>8</v>
      </c>
      <c r="K103">
        <f>INDEX('LAB PRICES'!$C$2:$F$12, MATCH(tblLabs[[#This Row],[Code]], 'LAB PRICES'!$A$2:$A$12, 0), MATCH(tblLabs[[#This Row],[Facility]], 'LAB PRICES'!$C$1:$F$1, 0))</f>
        <v>6</v>
      </c>
      <c r="L103">
        <f>_xlfn.XLOOKUP(
    tblLabs[[#This Row],[Code]],
    'LAB PRICES'!$A$2:$A$12,
    'LAB PRICES'!$G$2:$G$12
)</f>
        <v>23</v>
      </c>
    </row>
    <row r="104" spans="1:12" x14ac:dyDescent="0.25">
      <c r="A104" t="s">
        <v>78</v>
      </c>
      <c r="B104" t="s">
        <v>79</v>
      </c>
      <c r="C104">
        <v>12</v>
      </c>
      <c r="D104" t="s">
        <v>73</v>
      </c>
      <c r="E104" t="s">
        <v>1878</v>
      </c>
      <c r="F104" t="s">
        <v>1889</v>
      </c>
      <c r="G104" s="7">
        <v>45159</v>
      </c>
      <c r="H104" t="s">
        <v>71</v>
      </c>
      <c r="I104" t="s">
        <v>72</v>
      </c>
      <c r="J104" t="s">
        <v>8</v>
      </c>
      <c r="K104">
        <f>INDEX('LAB PRICES'!$C$2:$F$12, MATCH(tblLabs[[#This Row],[Code]], 'LAB PRICES'!$A$2:$A$12, 0), MATCH(tblLabs[[#This Row],[Facility]], 'LAB PRICES'!$C$1:$F$1, 0))</f>
        <v>6</v>
      </c>
      <c r="L104">
        <f>_xlfn.XLOOKUP(
    tblLabs[[#This Row],[Code]],
    'LAB PRICES'!$A$2:$A$12,
    'LAB PRICES'!$G$2:$G$12
)</f>
        <v>23</v>
      </c>
    </row>
    <row r="105" spans="1:12" x14ac:dyDescent="0.25">
      <c r="A105" t="s">
        <v>78</v>
      </c>
      <c r="B105" t="s">
        <v>79</v>
      </c>
      <c r="C105">
        <v>27</v>
      </c>
      <c r="D105" t="s">
        <v>74</v>
      </c>
      <c r="E105" t="s">
        <v>1878</v>
      </c>
      <c r="F105" t="s">
        <v>1889</v>
      </c>
      <c r="G105" s="7">
        <v>45160</v>
      </c>
      <c r="H105" t="s">
        <v>71</v>
      </c>
      <c r="I105" t="s">
        <v>72</v>
      </c>
      <c r="J105" t="s">
        <v>8</v>
      </c>
      <c r="K105">
        <f>INDEX('LAB PRICES'!$C$2:$F$12, MATCH(tblLabs[[#This Row],[Code]], 'LAB PRICES'!$A$2:$A$12, 0), MATCH(tblLabs[[#This Row],[Facility]], 'LAB PRICES'!$C$1:$F$1, 0))</f>
        <v>6</v>
      </c>
      <c r="L105">
        <f>_xlfn.XLOOKUP(
    tblLabs[[#This Row],[Code]],
    'LAB PRICES'!$A$2:$A$12,
    'LAB PRICES'!$G$2:$G$12
)</f>
        <v>23</v>
      </c>
    </row>
    <row r="106" spans="1:12" x14ac:dyDescent="0.25">
      <c r="A106" t="s">
        <v>442</v>
      </c>
      <c r="B106" t="s">
        <v>445</v>
      </c>
      <c r="C106">
        <v>12</v>
      </c>
      <c r="D106" t="s">
        <v>446</v>
      </c>
      <c r="E106" t="s">
        <v>1878</v>
      </c>
      <c r="F106" t="s">
        <v>1889</v>
      </c>
      <c r="G106" s="7">
        <v>45595</v>
      </c>
      <c r="H106" t="s">
        <v>71</v>
      </c>
      <c r="I106" t="s">
        <v>443</v>
      </c>
      <c r="J106" t="s">
        <v>8</v>
      </c>
      <c r="K106">
        <f>INDEX('LAB PRICES'!$C$2:$F$12, MATCH(tblLabs[[#This Row],[Code]], 'LAB PRICES'!$A$2:$A$12, 0), MATCH(tblLabs[[#This Row],[Facility]], 'LAB PRICES'!$C$1:$F$1, 0))</f>
        <v>6</v>
      </c>
      <c r="L106">
        <f>_xlfn.XLOOKUP(
    tblLabs[[#This Row],[Code]],
    'LAB PRICES'!$A$2:$A$12,
    'LAB PRICES'!$G$2:$G$12
)</f>
        <v>23</v>
      </c>
    </row>
    <row r="107" spans="1:12" x14ac:dyDescent="0.25">
      <c r="A107" t="s">
        <v>442</v>
      </c>
      <c r="B107" t="s">
        <v>445</v>
      </c>
      <c r="C107">
        <v>8</v>
      </c>
      <c r="D107" t="s">
        <v>448</v>
      </c>
      <c r="E107" t="s">
        <v>1878</v>
      </c>
      <c r="F107" t="s">
        <v>1889</v>
      </c>
      <c r="G107" s="7">
        <v>45596</v>
      </c>
      <c r="H107" t="s">
        <v>71</v>
      </c>
      <c r="I107" t="s">
        <v>443</v>
      </c>
      <c r="J107" t="s">
        <v>8</v>
      </c>
      <c r="K107">
        <f>INDEX('LAB PRICES'!$C$2:$F$12, MATCH(tblLabs[[#This Row],[Code]], 'LAB PRICES'!$A$2:$A$12, 0), MATCH(tblLabs[[#This Row],[Facility]], 'LAB PRICES'!$C$1:$F$1, 0))</f>
        <v>6</v>
      </c>
      <c r="L107">
        <f>_xlfn.XLOOKUP(
    tblLabs[[#This Row],[Code]],
    'LAB PRICES'!$A$2:$A$12,
    'LAB PRICES'!$G$2:$G$12
)</f>
        <v>23</v>
      </c>
    </row>
    <row r="108" spans="1:12" x14ac:dyDescent="0.25">
      <c r="A108" t="s">
        <v>442</v>
      </c>
      <c r="B108" t="s">
        <v>445</v>
      </c>
      <c r="C108">
        <v>12</v>
      </c>
      <c r="D108" t="s">
        <v>447</v>
      </c>
      <c r="E108" t="s">
        <v>1878</v>
      </c>
      <c r="F108" t="s">
        <v>1889</v>
      </c>
      <c r="G108" s="7">
        <v>45596</v>
      </c>
      <c r="H108" t="s">
        <v>71</v>
      </c>
      <c r="I108" t="s">
        <v>443</v>
      </c>
      <c r="J108" t="s">
        <v>8</v>
      </c>
      <c r="K108">
        <f>INDEX('LAB PRICES'!$C$2:$F$12, MATCH(tblLabs[[#This Row],[Code]], 'LAB PRICES'!$A$2:$A$12, 0), MATCH(tblLabs[[#This Row],[Facility]], 'LAB PRICES'!$C$1:$F$1, 0))</f>
        <v>6</v>
      </c>
      <c r="L108">
        <f>_xlfn.XLOOKUP(
    tblLabs[[#This Row],[Code]],
    'LAB PRICES'!$A$2:$A$12,
    'LAB PRICES'!$G$2:$G$12
)</f>
        <v>23</v>
      </c>
    </row>
    <row r="109" spans="1:12" x14ac:dyDescent="0.25">
      <c r="A109" t="s">
        <v>442</v>
      </c>
      <c r="B109" t="s">
        <v>445</v>
      </c>
      <c r="C109">
        <v>5</v>
      </c>
      <c r="D109" t="s">
        <v>456</v>
      </c>
      <c r="E109" t="s">
        <v>14</v>
      </c>
      <c r="F109" t="s">
        <v>1891</v>
      </c>
      <c r="G109" s="7">
        <v>45597</v>
      </c>
      <c r="H109" t="s">
        <v>71</v>
      </c>
      <c r="I109" t="s">
        <v>443</v>
      </c>
      <c r="J109" t="s">
        <v>8</v>
      </c>
      <c r="K109">
        <f>INDEX('LAB PRICES'!$C$2:$F$12, MATCH(tblLabs[[#This Row],[Code]], 'LAB PRICES'!$A$2:$A$12, 0), MATCH(tblLabs[[#This Row],[Facility]], 'LAB PRICES'!$C$1:$F$1, 0))</f>
        <v>40</v>
      </c>
      <c r="L109">
        <f>_xlfn.XLOOKUP(
    tblLabs[[#This Row],[Code]],
    'LAB PRICES'!$A$2:$A$12,
    'LAB PRICES'!$G$2:$G$12
)</f>
        <v>100</v>
      </c>
    </row>
    <row r="110" spans="1:12" x14ac:dyDescent="0.25">
      <c r="A110" t="s">
        <v>442</v>
      </c>
      <c r="B110" t="s">
        <v>445</v>
      </c>
      <c r="C110">
        <v>5</v>
      </c>
      <c r="D110" t="s">
        <v>457</v>
      </c>
      <c r="E110" t="s">
        <v>14</v>
      </c>
      <c r="F110" t="s">
        <v>1891</v>
      </c>
      <c r="G110" s="7">
        <v>45605</v>
      </c>
      <c r="H110" t="s">
        <v>71</v>
      </c>
      <c r="I110" t="s">
        <v>452</v>
      </c>
      <c r="J110" t="s">
        <v>8</v>
      </c>
      <c r="K110">
        <f>INDEX('LAB PRICES'!$C$2:$F$12, MATCH(tblLabs[[#This Row],[Code]], 'LAB PRICES'!$A$2:$A$12, 0), MATCH(tblLabs[[#This Row],[Facility]], 'LAB PRICES'!$C$1:$F$1, 0))</f>
        <v>40</v>
      </c>
      <c r="L110">
        <f>_xlfn.XLOOKUP(
    tblLabs[[#This Row],[Code]],
    'LAB PRICES'!$A$2:$A$12,
    'LAB PRICES'!$G$2:$G$12
)</f>
        <v>100</v>
      </c>
    </row>
    <row r="111" spans="1:12" x14ac:dyDescent="0.25">
      <c r="A111" t="s">
        <v>442</v>
      </c>
      <c r="B111" t="s">
        <v>445</v>
      </c>
      <c r="C111">
        <v>12</v>
      </c>
      <c r="D111" t="s">
        <v>450</v>
      </c>
      <c r="E111" t="s">
        <v>237</v>
      </c>
      <c r="F111" t="s">
        <v>1890</v>
      </c>
      <c r="G111" s="7">
        <v>45597</v>
      </c>
      <c r="H111" t="s">
        <v>71</v>
      </c>
      <c r="I111" t="s">
        <v>443</v>
      </c>
      <c r="J111" t="s">
        <v>8</v>
      </c>
      <c r="K111">
        <f>INDEX('LAB PRICES'!$C$2:$F$12, MATCH(tblLabs[[#This Row],[Code]], 'LAB PRICES'!$A$2:$A$12, 0), MATCH(tblLabs[[#This Row],[Facility]], 'LAB PRICES'!$C$1:$F$1, 0))</f>
        <v>6</v>
      </c>
      <c r="L111">
        <f>_xlfn.XLOOKUP(
    tblLabs[[#This Row],[Code]],
    'LAB PRICES'!$A$2:$A$12,
    'LAB PRICES'!$G$2:$G$12
)</f>
        <v>27</v>
      </c>
    </row>
    <row r="112" spans="1:12" x14ac:dyDescent="0.25">
      <c r="A112" t="s">
        <v>442</v>
      </c>
      <c r="B112" t="s">
        <v>445</v>
      </c>
      <c r="C112">
        <v>14</v>
      </c>
      <c r="D112" t="s">
        <v>449</v>
      </c>
      <c r="E112" t="s">
        <v>1878</v>
      </c>
      <c r="F112" t="s">
        <v>1889</v>
      </c>
      <c r="G112" s="7">
        <v>45597</v>
      </c>
      <c r="H112" t="s">
        <v>71</v>
      </c>
      <c r="I112" t="s">
        <v>443</v>
      </c>
      <c r="J112" t="s">
        <v>8</v>
      </c>
      <c r="K112">
        <f>INDEX('LAB PRICES'!$C$2:$F$12, MATCH(tblLabs[[#This Row],[Code]], 'LAB PRICES'!$A$2:$A$12, 0), MATCH(tblLabs[[#This Row],[Facility]], 'LAB PRICES'!$C$1:$F$1, 0))</f>
        <v>6</v>
      </c>
      <c r="L112">
        <f>_xlfn.XLOOKUP(
    tblLabs[[#This Row],[Code]],
    'LAB PRICES'!$A$2:$A$12,
    'LAB PRICES'!$G$2:$G$12
)</f>
        <v>23</v>
      </c>
    </row>
    <row r="113" spans="1:12" x14ac:dyDescent="0.25">
      <c r="A113" t="s">
        <v>442</v>
      </c>
      <c r="B113" t="s">
        <v>445</v>
      </c>
      <c r="C113">
        <v>12</v>
      </c>
      <c r="D113" t="s">
        <v>451</v>
      </c>
      <c r="E113" t="s">
        <v>1878</v>
      </c>
      <c r="F113" t="s">
        <v>1889</v>
      </c>
      <c r="G113" s="7">
        <v>45603</v>
      </c>
      <c r="H113" t="s">
        <v>71</v>
      </c>
      <c r="I113" t="s">
        <v>452</v>
      </c>
      <c r="J113" t="s">
        <v>8</v>
      </c>
      <c r="K113">
        <f>INDEX('LAB PRICES'!$C$2:$F$12, MATCH(tblLabs[[#This Row],[Code]], 'LAB PRICES'!$A$2:$A$12, 0), MATCH(tblLabs[[#This Row],[Facility]], 'LAB PRICES'!$C$1:$F$1, 0))</f>
        <v>6</v>
      </c>
      <c r="L113">
        <f>_xlfn.XLOOKUP(
    tblLabs[[#This Row],[Code]],
    'LAB PRICES'!$A$2:$A$12,
    'LAB PRICES'!$G$2:$G$12
)</f>
        <v>23</v>
      </c>
    </row>
    <row r="114" spans="1:12" x14ac:dyDescent="0.25">
      <c r="A114" t="s">
        <v>442</v>
      </c>
      <c r="B114" t="s">
        <v>445</v>
      </c>
      <c r="C114">
        <v>12</v>
      </c>
      <c r="D114" t="s">
        <v>455</v>
      </c>
      <c r="E114" t="s">
        <v>237</v>
      </c>
      <c r="F114" t="s">
        <v>1890</v>
      </c>
      <c r="G114" s="7">
        <v>45605</v>
      </c>
      <c r="H114" t="s">
        <v>71</v>
      </c>
      <c r="I114" t="s">
        <v>452</v>
      </c>
      <c r="J114" t="s">
        <v>8</v>
      </c>
      <c r="K114">
        <f>INDEX('LAB PRICES'!$C$2:$F$12, MATCH(tblLabs[[#This Row],[Code]], 'LAB PRICES'!$A$2:$A$12, 0), MATCH(tblLabs[[#This Row],[Facility]], 'LAB PRICES'!$C$1:$F$1, 0))</f>
        <v>6</v>
      </c>
      <c r="L114">
        <f>_xlfn.XLOOKUP(
    tblLabs[[#This Row],[Code]],
    'LAB PRICES'!$A$2:$A$12,
    'LAB PRICES'!$G$2:$G$12
)</f>
        <v>27</v>
      </c>
    </row>
    <row r="115" spans="1:12" x14ac:dyDescent="0.25">
      <c r="A115" t="s">
        <v>442</v>
      </c>
      <c r="B115" t="s">
        <v>445</v>
      </c>
      <c r="C115">
        <v>12</v>
      </c>
      <c r="D115" t="s">
        <v>453</v>
      </c>
      <c r="E115" t="s">
        <v>1878</v>
      </c>
      <c r="F115" t="s">
        <v>1889</v>
      </c>
      <c r="G115" s="7">
        <v>45604</v>
      </c>
      <c r="H115" t="s">
        <v>71</v>
      </c>
      <c r="I115" t="s">
        <v>452</v>
      </c>
      <c r="J115" t="s">
        <v>8</v>
      </c>
      <c r="K115">
        <f>INDEX('LAB PRICES'!$C$2:$F$12, MATCH(tblLabs[[#This Row],[Code]], 'LAB PRICES'!$A$2:$A$12, 0), MATCH(tblLabs[[#This Row],[Facility]], 'LAB PRICES'!$C$1:$F$1, 0))</f>
        <v>6</v>
      </c>
      <c r="L115">
        <f>_xlfn.XLOOKUP(
    tblLabs[[#This Row],[Code]],
    'LAB PRICES'!$A$2:$A$12,
    'LAB PRICES'!$G$2:$G$12
)</f>
        <v>23</v>
      </c>
    </row>
    <row r="116" spans="1:12" x14ac:dyDescent="0.25">
      <c r="A116" t="s">
        <v>442</v>
      </c>
      <c r="B116" t="s">
        <v>445</v>
      </c>
      <c r="C116">
        <v>8</v>
      </c>
      <c r="D116" t="s">
        <v>454</v>
      </c>
      <c r="E116" t="s">
        <v>1878</v>
      </c>
      <c r="F116" t="s">
        <v>1889</v>
      </c>
      <c r="G116" s="7">
        <v>45604</v>
      </c>
      <c r="H116" t="s">
        <v>71</v>
      </c>
      <c r="I116" t="s">
        <v>452</v>
      </c>
      <c r="J116" t="s">
        <v>8</v>
      </c>
      <c r="K116">
        <f>INDEX('LAB PRICES'!$C$2:$F$12, MATCH(tblLabs[[#This Row],[Code]], 'LAB PRICES'!$A$2:$A$12, 0), MATCH(tblLabs[[#This Row],[Facility]], 'LAB PRICES'!$C$1:$F$1, 0))</f>
        <v>6</v>
      </c>
      <c r="L116">
        <f>_xlfn.XLOOKUP(
    tblLabs[[#This Row],[Code]],
    'LAB PRICES'!$A$2:$A$12,
    'LAB PRICES'!$G$2:$G$12
)</f>
        <v>23</v>
      </c>
    </row>
    <row r="117" spans="1:12" x14ac:dyDescent="0.25">
      <c r="A117" t="s">
        <v>306</v>
      </c>
      <c r="B117" t="s">
        <v>307</v>
      </c>
      <c r="C117">
        <v>5</v>
      </c>
      <c r="D117" t="s">
        <v>314</v>
      </c>
      <c r="E117" t="s">
        <v>14</v>
      </c>
      <c r="F117" t="s">
        <v>1891</v>
      </c>
      <c r="G117" s="7">
        <v>45220</v>
      </c>
      <c r="H117" t="s">
        <v>71</v>
      </c>
      <c r="I117" t="s">
        <v>313</v>
      </c>
      <c r="J117" t="s">
        <v>8</v>
      </c>
      <c r="K117">
        <f>INDEX('LAB PRICES'!$C$2:$F$12, MATCH(tblLabs[[#This Row],[Code]], 'LAB PRICES'!$A$2:$A$12, 0), MATCH(tblLabs[[#This Row],[Facility]], 'LAB PRICES'!$C$1:$F$1, 0))</f>
        <v>40</v>
      </c>
      <c r="L117">
        <f>_xlfn.XLOOKUP(
    tblLabs[[#This Row],[Code]],
    'LAB PRICES'!$A$2:$A$12,
    'LAB PRICES'!$G$2:$G$12
)</f>
        <v>100</v>
      </c>
    </row>
    <row r="118" spans="1:12" x14ac:dyDescent="0.25">
      <c r="A118" t="s">
        <v>306</v>
      </c>
      <c r="B118" t="s">
        <v>307</v>
      </c>
      <c r="C118">
        <v>5</v>
      </c>
      <c r="D118" t="s">
        <v>318</v>
      </c>
      <c r="E118" t="s">
        <v>14</v>
      </c>
      <c r="F118" t="s">
        <v>1891</v>
      </c>
      <c r="G118" s="7">
        <v>45227</v>
      </c>
      <c r="H118" t="s">
        <v>71</v>
      </c>
      <c r="I118" t="s">
        <v>316</v>
      </c>
      <c r="J118" t="s">
        <v>8</v>
      </c>
      <c r="K118">
        <f>INDEX('LAB PRICES'!$C$2:$F$12, MATCH(tblLabs[[#This Row],[Code]], 'LAB PRICES'!$A$2:$A$12, 0), MATCH(tblLabs[[#This Row],[Facility]], 'LAB PRICES'!$C$1:$F$1, 0))</f>
        <v>40</v>
      </c>
      <c r="L118">
        <f>_xlfn.XLOOKUP(
    tblLabs[[#This Row],[Code]],
    'LAB PRICES'!$A$2:$A$12,
    'LAB PRICES'!$G$2:$G$12
)</f>
        <v>100</v>
      </c>
    </row>
    <row r="119" spans="1:12" x14ac:dyDescent="0.25">
      <c r="A119" t="s">
        <v>306</v>
      </c>
      <c r="B119" t="s">
        <v>307</v>
      </c>
      <c r="C119">
        <v>12</v>
      </c>
      <c r="D119" t="s">
        <v>310</v>
      </c>
      <c r="E119" t="s">
        <v>1878</v>
      </c>
      <c r="F119" t="s">
        <v>1889</v>
      </c>
      <c r="G119" s="7">
        <v>45218</v>
      </c>
      <c r="H119" t="s">
        <v>71</v>
      </c>
      <c r="I119" t="s">
        <v>311</v>
      </c>
      <c r="J119" t="s">
        <v>8</v>
      </c>
      <c r="K119">
        <f>INDEX('LAB PRICES'!$C$2:$F$12, MATCH(tblLabs[[#This Row],[Code]], 'LAB PRICES'!$A$2:$A$12, 0), MATCH(tblLabs[[#This Row],[Facility]], 'LAB PRICES'!$C$1:$F$1, 0))</f>
        <v>6</v>
      </c>
      <c r="L119">
        <f>_xlfn.XLOOKUP(
    tblLabs[[#This Row],[Code]],
    'LAB PRICES'!$A$2:$A$12,
    'LAB PRICES'!$G$2:$G$12
)</f>
        <v>23</v>
      </c>
    </row>
    <row r="120" spans="1:12" x14ac:dyDescent="0.25">
      <c r="A120" t="s">
        <v>306</v>
      </c>
      <c r="B120" t="s">
        <v>307</v>
      </c>
      <c r="C120">
        <v>12</v>
      </c>
      <c r="D120" t="s">
        <v>312</v>
      </c>
      <c r="E120" t="s">
        <v>237</v>
      </c>
      <c r="F120" t="s">
        <v>1890</v>
      </c>
      <c r="G120" s="7">
        <v>45220</v>
      </c>
      <c r="H120" t="s">
        <v>71</v>
      </c>
      <c r="I120" t="s">
        <v>313</v>
      </c>
      <c r="J120" t="s">
        <v>8</v>
      </c>
      <c r="K120">
        <f>INDEX('LAB PRICES'!$C$2:$F$12, MATCH(tblLabs[[#This Row],[Code]], 'LAB PRICES'!$A$2:$A$12, 0), MATCH(tblLabs[[#This Row],[Facility]], 'LAB PRICES'!$C$1:$F$1, 0))</f>
        <v>6</v>
      </c>
      <c r="L120">
        <f>_xlfn.XLOOKUP(
    tblLabs[[#This Row],[Code]],
    'LAB PRICES'!$A$2:$A$12,
    'LAB PRICES'!$G$2:$G$12
)</f>
        <v>27</v>
      </c>
    </row>
    <row r="121" spans="1:12" x14ac:dyDescent="0.25">
      <c r="A121" t="s">
        <v>306</v>
      </c>
      <c r="B121" t="s">
        <v>307</v>
      </c>
      <c r="C121">
        <v>12</v>
      </c>
      <c r="D121" t="s">
        <v>317</v>
      </c>
      <c r="E121" t="s">
        <v>237</v>
      </c>
      <c r="F121" t="s">
        <v>1890</v>
      </c>
      <c r="G121" s="7">
        <v>45227</v>
      </c>
      <c r="H121" t="s">
        <v>71</v>
      </c>
      <c r="I121" t="s">
        <v>316</v>
      </c>
      <c r="J121" t="s">
        <v>8</v>
      </c>
      <c r="K121">
        <f>INDEX('LAB PRICES'!$C$2:$F$12, MATCH(tblLabs[[#This Row],[Code]], 'LAB PRICES'!$A$2:$A$12, 0), MATCH(tblLabs[[#This Row],[Facility]], 'LAB PRICES'!$C$1:$F$1, 0))</f>
        <v>6</v>
      </c>
      <c r="L121">
        <f>_xlfn.XLOOKUP(
    tblLabs[[#This Row],[Code]],
    'LAB PRICES'!$A$2:$A$12,
    'LAB PRICES'!$G$2:$G$12
)</f>
        <v>27</v>
      </c>
    </row>
    <row r="122" spans="1:12" x14ac:dyDescent="0.25">
      <c r="A122" t="s">
        <v>306</v>
      </c>
      <c r="B122" t="s">
        <v>307</v>
      </c>
      <c r="C122">
        <v>12</v>
      </c>
      <c r="D122" t="s">
        <v>315</v>
      </c>
      <c r="E122" t="s">
        <v>1878</v>
      </c>
      <c r="F122" t="s">
        <v>1889</v>
      </c>
      <c r="G122" s="7">
        <v>45226</v>
      </c>
      <c r="H122" t="s">
        <v>71</v>
      </c>
      <c r="I122" t="s">
        <v>316</v>
      </c>
      <c r="J122" t="s">
        <v>8</v>
      </c>
      <c r="K122">
        <f>INDEX('LAB PRICES'!$C$2:$F$12, MATCH(tblLabs[[#This Row],[Code]], 'LAB PRICES'!$A$2:$A$12, 0), MATCH(tblLabs[[#This Row],[Facility]], 'LAB PRICES'!$C$1:$F$1, 0))</f>
        <v>6</v>
      </c>
      <c r="L122">
        <f>_xlfn.XLOOKUP(
    tblLabs[[#This Row],[Code]],
    'LAB PRICES'!$A$2:$A$12,
    'LAB PRICES'!$G$2:$G$12
)</f>
        <v>23</v>
      </c>
    </row>
    <row r="123" spans="1:12" x14ac:dyDescent="0.25">
      <c r="A123" t="s">
        <v>306</v>
      </c>
      <c r="B123" t="s">
        <v>307</v>
      </c>
      <c r="C123">
        <v>6</v>
      </c>
      <c r="D123" t="s">
        <v>323</v>
      </c>
      <c r="E123" t="s">
        <v>14</v>
      </c>
      <c r="F123" t="s">
        <v>1891</v>
      </c>
      <c r="G123" s="7">
        <v>45241</v>
      </c>
      <c r="H123" t="s">
        <v>25</v>
      </c>
      <c r="I123" t="s">
        <v>320</v>
      </c>
      <c r="J123" t="s">
        <v>26</v>
      </c>
      <c r="K123">
        <f>INDEX('LAB PRICES'!$C$2:$F$12, MATCH(tblLabs[[#This Row],[Code]], 'LAB PRICES'!$A$2:$A$12, 0), MATCH(tblLabs[[#This Row],[Facility]], 'LAB PRICES'!$C$1:$F$1, 0))</f>
        <v>30</v>
      </c>
      <c r="L123">
        <f>_xlfn.XLOOKUP(
    tblLabs[[#This Row],[Code]],
    'LAB PRICES'!$A$2:$A$12,
    'LAB PRICES'!$G$2:$G$12
)</f>
        <v>100</v>
      </c>
    </row>
    <row r="124" spans="1:12" x14ac:dyDescent="0.25">
      <c r="A124" t="s">
        <v>306</v>
      </c>
      <c r="B124" t="s">
        <v>307</v>
      </c>
      <c r="C124">
        <v>18</v>
      </c>
      <c r="D124" t="s">
        <v>321</v>
      </c>
      <c r="E124" t="s">
        <v>1878</v>
      </c>
      <c r="F124" t="s">
        <v>1889</v>
      </c>
      <c r="G124" s="7">
        <v>45240</v>
      </c>
      <c r="H124" t="s">
        <v>25</v>
      </c>
      <c r="I124" t="s">
        <v>320</v>
      </c>
      <c r="J124" t="s">
        <v>26</v>
      </c>
      <c r="K124">
        <f>INDEX('LAB PRICES'!$C$2:$F$12, MATCH(tblLabs[[#This Row],[Code]], 'LAB PRICES'!$A$2:$A$12, 0), MATCH(tblLabs[[#This Row],[Facility]], 'LAB PRICES'!$C$1:$F$1, 0))</f>
        <v>5</v>
      </c>
      <c r="L124">
        <f>_xlfn.XLOOKUP(
    tblLabs[[#This Row],[Code]],
    'LAB PRICES'!$A$2:$A$12,
    'LAB PRICES'!$G$2:$G$12
)</f>
        <v>23</v>
      </c>
    </row>
    <row r="125" spans="1:12" x14ac:dyDescent="0.25">
      <c r="A125" t="s">
        <v>306</v>
      </c>
      <c r="B125" t="s">
        <v>307</v>
      </c>
      <c r="C125">
        <v>12</v>
      </c>
      <c r="D125" t="s">
        <v>322</v>
      </c>
      <c r="E125" t="s">
        <v>237</v>
      </c>
      <c r="F125" t="s">
        <v>1890</v>
      </c>
      <c r="G125" s="7">
        <v>45241</v>
      </c>
      <c r="H125" t="s">
        <v>25</v>
      </c>
      <c r="I125" t="s">
        <v>320</v>
      </c>
      <c r="J125" t="s">
        <v>26</v>
      </c>
      <c r="K125">
        <f>INDEX('LAB PRICES'!$C$2:$F$12, MATCH(tblLabs[[#This Row],[Code]], 'LAB PRICES'!$A$2:$A$12, 0), MATCH(tblLabs[[#This Row],[Facility]], 'LAB PRICES'!$C$1:$F$1, 0))</f>
        <v>5</v>
      </c>
      <c r="L125">
        <f>_xlfn.XLOOKUP(
    tblLabs[[#This Row],[Code]],
    'LAB PRICES'!$A$2:$A$12,
    'LAB PRICES'!$G$2:$G$12
)</f>
        <v>27</v>
      </c>
    </row>
    <row r="126" spans="1:12" x14ac:dyDescent="0.25">
      <c r="A126" t="s">
        <v>306</v>
      </c>
      <c r="B126" t="s">
        <v>307</v>
      </c>
      <c r="C126">
        <v>10</v>
      </c>
      <c r="D126" t="s">
        <v>319</v>
      </c>
      <c r="E126" t="s">
        <v>1878</v>
      </c>
      <c r="F126" t="s">
        <v>1889</v>
      </c>
      <c r="G126" s="7">
        <v>45240</v>
      </c>
      <c r="H126" t="s">
        <v>25</v>
      </c>
      <c r="I126" t="s">
        <v>320</v>
      </c>
      <c r="J126" t="s">
        <v>26</v>
      </c>
      <c r="K126">
        <f>INDEX('LAB PRICES'!$C$2:$F$12, MATCH(tblLabs[[#This Row],[Code]], 'LAB PRICES'!$A$2:$A$12, 0), MATCH(tblLabs[[#This Row],[Facility]], 'LAB PRICES'!$C$1:$F$1, 0))</f>
        <v>5</v>
      </c>
      <c r="L126">
        <f>_xlfn.XLOOKUP(
    tblLabs[[#This Row],[Code]],
    'LAB PRICES'!$A$2:$A$12,
    'LAB PRICES'!$G$2:$G$12
)</f>
        <v>23</v>
      </c>
    </row>
    <row r="127" spans="1:12" x14ac:dyDescent="0.25">
      <c r="A127" t="s">
        <v>306</v>
      </c>
      <c r="B127" t="s">
        <v>307</v>
      </c>
      <c r="C127">
        <v>4</v>
      </c>
      <c r="D127" t="s">
        <v>328</v>
      </c>
      <c r="E127" t="s">
        <v>1878</v>
      </c>
      <c r="F127" t="s">
        <v>1889</v>
      </c>
      <c r="G127" s="7">
        <v>45248</v>
      </c>
      <c r="H127" t="s">
        <v>62</v>
      </c>
      <c r="I127" t="s">
        <v>329</v>
      </c>
      <c r="J127" t="s">
        <v>26</v>
      </c>
      <c r="K127">
        <f>INDEX('LAB PRICES'!$C$2:$F$12, MATCH(tblLabs[[#This Row],[Code]], 'LAB PRICES'!$A$2:$A$12, 0), MATCH(tblLabs[[#This Row],[Facility]], 'LAB PRICES'!$C$1:$F$1, 0))</f>
        <v>5</v>
      </c>
      <c r="L127">
        <f>_xlfn.XLOOKUP(
    tblLabs[[#This Row],[Code]],
    'LAB PRICES'!$A$2:$A$12,
    'LAB PRICES'!$G$2:$G$12
)</f>
        <v>23</v>
      </c>
    </row>
    <row r="128" spans="1:12" x14ac:dyDescent="0.25">
      <c r="A128" t="s">
        <v>306</v>
      </c>
      <c r="B128" t="s">
        <v>307</v>
      </c>
      <c r="C128">
        <v>8</v>
      </c>
      <c r="D128" t="s">
        <v>330</v>
      </c>
      <c r="E128" t="s">
        <v>237</v>
      </c>
      <c r="F128" t="s">
        <v>1890</v>
      </c>
      <c r="G128" s="7">
        <v>45248</v>
      </c>
      <c r="H128" t="s">
        <v>62</v>
      </c>
      <c r="I128" t="s">
        <v>329</v>
      </c>
      <c r="J128" t="s">
        <v>26</v>
      </c>
      <c r="K128">
        <f>INDEX('LAB PRICES'!$C$2:$F$12, MATCH(tblLabs[[#This Row],[Code]], 'LAB PRICES'!$A$2:$A$12, 0), MATCH(tblLabs[[#This Row],[Facility]], 'LAB PRICES'!$C$1:$F$1, 0))</f>
        <v>5</v>
      </c>
      <c r="L128">
        <f>_xlfn.XLOOKUP(
    tblLabs[[#This Row],[Code]],
    'LAB PRICES'!$A$2:$A$12,
    'LAB PRICES'!$G$2:$G$12
)</f>
        <v>27</v>
      </c>
    </row>
    <row r="129" spans="1:12" x14ac:dyDescent="0.25">
      <c r="A129" t="s">
        <v>306</v>
      </c>
      <c r="B129" t="s">
        <v>307</v>
      </c>
      <c r="C129">
        <v>12</v>
      </c>
      <c r="D129" t="s">
        <v>327</v>
      </c>
      <c r="E129" t="s">
        <v>237</v>
      </c>
      <c r="F129" t="s">
        <v>1890</v>
      </c>
      <c r="G129" s="7">
        <v>45248</v>
      </c>
      <c r="H129" t="s">
        <v>136</v>
      </c>
      <c r="I129" t="s">
        <v>325</v>
      </c>
      <c r="J129" t="s">
        <v>26</v>
      </c>
      <c r="K129">
        <f>INDEX('LAB PRICES'!$C$2:$F$12, MATCH(tblLabs[[#This Row],[Code]], 'LAB PRICES'!$A$2:$A$12, 0), MATCH(tblLabs[[#This Row],[Facility]], 'LAB PRICES'!$C$1:$F$1, 0))</f>
        <v>5</v>
      </c>
      <c r="L129">
        <f>_xlfn.XLOOKUP(
    tblLabs[[#This Row],[Code]],
    'LAB PRICES'!$A$2:$A$12,
    'LAB PRICES'!$G$2:$G$12
)</f>
        <v>27</v>
      </c>
    </row>
    <row r="130" spans="1:12" x14ac:dyDescent="0.25">
      <c r="A130" t="s">
        <v>306</v>
      </c>
      <c r="B130" t="s">
        <v>307</v>
      </c>
      <c r="C130">
        <v>26</v>
      </c>
      <c r="D130" t="s">
        <v>326</v>
      </c>
      <c r="E130" t="s">
        <v>1878</v>
      </c>
      <c r="F130" t="s">
        <v>1889</v>
      </c>
      <c r="G130" s="7">
        <v>45247</v>
      </c>
      <c r="H130" t="s">
        <v>136</v>
      </c>
      <c r="I130" t="s">
        <v>325</v>
      </c>
      <c r="J130" t="s">
        <v>26</v>
      </c>
      <c r="K130">
        <f>INDEX('LAB PRICES'!$C$2:$F$12, MATCH(tblLabs[[#This Row],[Code]], 'LAB PRICES'!$A$2:$A$12, 0), MATCH(tblLabs[[#This Row],[Facility]], 'LAB PRICES'!$C$1:$F$1, 0))</f>
        <v>5</v>
      </c>
      <c r="L130">
        <f>_xlfn.XLOOKUP(
    tblLabs[[#This Row],[Code]],
    'LAB PRICES'!$A$2:$A$12,
    'LAB PRICES'!$G$2:$G$12
)</f>
        <v>23</v>
      </c>
    </row>
    <row r="131" spans="1:12" x14ac:dyDescent="0.25">
      <c r="A131" t="s">
        <v>306</v>
      </c>
      <c r="B131" t="s">
        <v>307</v>
      </c>
      <c r="C131">
        <v>12</v>
      </c>
      <c r="D131" t="s">
        <v>324</v>
      </c>
      <c r="E131" t="s">
        <v>1878</v>
      </c>
      <c r="F131" t="s">
        <v>1889</v>
      </c>
      <c r="G131" s="7">
        <v>45247</v>
      </c>
      <c r="H131" t="s">
        <v>136</v>
      </c>
      <c r="I131" t="s">
        <v>325</v>
      </c>
      <c r="J131" t="s">
        <v>26</v>
      </c>
      <c r="K131">
        <f>INDEX('LAB PRICES'!$C$2:$F$12, MATCH(tblLabs[[#This Row],[Code]], 'LAB PRICES'!$A$2:$A$12, 0), MATCH(tblLabs[[#This Row],[Facility]], 'LAB PRICES'!$C$1:$F$1, 0))</f>
        <v>5</v>
      </c>
      <c r="L131">
        <f>_xlfn.XLOOKUP(
    tblLabs[[#This Row],[Code]],
    'LAB PRICES'!$A$2:$A$12,
    'LAB PRICES'!$G$2:$G$12
)</f>
        <v>23</v>
      </c>
    </row>
    <row r="132" spans="1:12" x14ac:dyDescent="0.25">
      <c r="A132" t="s">
        <v>306</v>
      </c>
      <c r="B132" t="s">
        <v>307</v>
      </c>
      <c r="C132">
        <v>6</v>
      </c>
      <c r="D132" t="s">
        <v>331</v>
      </c>
      <c r="E132" t="s">
        <v>14</v>
      </c>
      <c r="F132" t="s">
        <v>1891</v>
      </c>
      <c r="G132" s="7">
        <v>45248</v>
      </c>
      <c r="H132" t="s">
        <v>136</v>
      </c>
      <c r="I132" t="s">
        <v>325</v>
      </c>
      <c r="J132" t="s">
        <v>26</v>
      </c>
      <c r="K132">
        <f>INDEX('LAB PRICES'!$C$2:$F$12, MATCH(tblLabs[[#This Row],[Code]], 'LAB PRICES'!$A$2:$A$12, 0), MATCH(tblLabs[[#This Row],[Facility]], 'LAB PRICES'!$C$1:$F$1, 0))</f>
        <v>30</v>
      </c>
      <c r="L132">
        <f>_xlfn.XLOOKUP(
    tblLabs[[#This Row],[Code]],
    'LAB PRICES'!$A$2:$A$12,
    'LAB PRICES'!$G$2:$G$12
)</f>
        <v>100</v>
      </c>
    </row>
    <row r="133" spans="1:12" x14ac:dyDescent="0.25">
      <c r="A133" t="s">
        <v>306</v>
      </c>
      <c r="B133" t="s">
        <v>307</v>
      </c>
      <c r="C133">
        <v>5</v>
      </c>
      <c r="D133" t="s">
        <v>336</v>
      </c>
      <c r="E133" t="s">
        <v>14</v>
      </c>
      <c r="F133" t="s">
        <v>1891</v>
      </c>
      <c r="G133" s="7">
        <v>45262</v>
      </c>
      <c r="H133" t="s">
        <v>136</v>
      </c>
      <c r="I133" t="s">
        <v>333</v>
      </c>
      <c r="J133" t="s">
        <v>8</v>
      </c>
      <c r="K133">
        <f>INDEX('LAB PRICES'!$C$2:$F$12, MATCH(tblLabs[[#This Row],[Code]], 'LAB PRICES'!$A$2:$A$12, 0), MATCH(tblLabs[[#This Row],[Facility]], 'LAB PRICES'!$C$1:$F$1, 0))</f>
        <v>40</v>
      </c>
      <c r="L133">
        <f>_xlfn.XLOOKUP(
    tblLabs[[#This Row],[Code]],
    'LAB PRICES'!$A$2:$A$12,
    'LAB PRICES'!$G$2:$G$12
)</f>
        <v>100</v>
      </c>
    </row>
    <row r="134" spans="1:12" x14ac:dyDescent="0.25">
      <c r="A134" t="s">
        <v>306</v>
      </c>
      <c r="B134" t="s">
        <v>307</v>
      </c>
      <c r="C134">
        <v>12</v>
      </c>
      <c r="D134" t="s">
        <v>335</v>
      </c>
      <c r="E134" t="s">
        <v>237</v>
      </c>
      <c r="F134" t="s">
        <v>1890</v>
      </c>
      <c r="G134" s="7">
        <v>45262</v>
      </c>
      <c r="H134" t="s">
        <v>136</v>
      </c>
      <c r="I134" t="s">
        <v>333</v>
      </c>
      <c r="J134" t="s">
        <v>8</v>
      </c>
      <c r="K134">
        <f>INDEX('LAB PRICES'!$C$2:$F$12, MATCH(tblLabs[[#This Row],[Code]], 'LAB PRICES'!$A$2:$A$12, 0), MATCH(tblLabs[[#This Row],[Facility]], 'LAB PRICES'!$C$1:$F$1, 0))</f>
        <v>6</v>
      </c>
      <c r="L134">
        <f>_xlfn.XLOOKUP(
    tblLabs[[#This Row],[Code]],
    'LAB PRICES'!$A$2:$A$12,
    'LAB PRICES'!$G$2:$G$12
)</f>
        <v>27</v>
      </c>
    </row>
    <row r="135" spans="1:12" x14ac:dyDescent="0.25">
      <c r="A135" t="s">
        <v>306</v>
      </c>
      <c r="B135" t="s">
        <v>307</v>
      </c>
      <c r="C135">
        <v>12</v>
      </c>
      <c r="D135" t="s">
        <v>332</v>
      </c>
      <c r="E135" t="s">
        <v>1878</v>
      </c>
      <c r="F135" t="s">
        <v>1889</v>
      </c>
      <c r="G135" s="7">
        <v>45261</v>
      </c>
      <c r="H135" t="s">
        <v>136</v>
      </c>
      <c r="I135" t="s">
        <v>333</v>
      </c>
      <c r="J135" t="s">
        <v>8</v>
      </c>
      <c r="K135">
        <f>INDEX('LAB PRICES'!$C$2:$F$12, MATCH(tblLabs[[#This Row],[Code]], 'LAB PRICES'!$A$2:$A$12, 0), MATCH(tblLabs[[#This Row],[Facility]], 'LAB PRICES'!$C$1:$F$1, 0))</f>
        <v>6</v>
      </c>
      <c r="L135">
        <f>_xlfn.XLOOKUP(
    tblLabs[[#This Row],[Code]],
    'LAB PRICES'!$A$2:$A$12,
    'LAB PRICES'!$G$2:$G$12
)</f>
        <v>23</v>
      </c>
    </row>
    <row r="136" spans="1:12" x14ac:dyDescent="0.25">
      <c r="A136" t="s">
        <v>306</v>
      </c>
      <c r="B136" t="s">
        <v>307</v>
      </c>
      <c r="C136">
        <v>20</v>
      </c>
      <c r="D136" t="s">
        <v>334</v>
      </c>
      <c r="E136" t="s">
        <v>1878</v>
      </c>
      <c r="F136" t="s">
        <v>1889</v>
      </c>
      <c r="G136" s="7">
        <v>45261</v>
      </c>
      <c r="H136" t="s">
        <v>136</v>
      </c>
      <c r="I136" t="s">
        <v>333</v>
      </c>
      <c r="J136" t="s">
        <v>8</v>
      </c>
      <c r="K136">
        <f>INDEX('LAB PRICES'!$C$2:$F$12, MATCH(tblLabs[[#This Row],[Code]], 'LAB PRICES'!$A$2:$A$12, 0), MATCH(tblLabs[[#This Row],[Facility]], 'LAB PRICES'!$C$1:$F$1, 0))</f>
        <v>6</v>
      </c>
      <c r="L136">
        <f>_xlfn.XLOOKUP(
    tblLabs[[#This Row],[Code]],
    'LAB PRICES'!$A$2:$A$12,
    'LAB PRICES'!$G$2:$G$12
)</f>
        <v>23</v>
      </c>
    </row>
    <row r="137" spans="1:12" x14ac:dyDescent="0.25">
      <c r="A137" t="s">
        <v>306</v>
      </c>
      <c r="B137" t="s">
        <v>307</v>
      </c>
      <c r="C137">
        <v>12</v>
      </c>
      <c r="D137" t="s">
        <v>344</v>
      </c>
      <c r="E137" t="s">
        <v>237</v>
      </c>
      <c r="F137" t="s">
        <v>1890</v>
      </c>
      <c r="G137" s="7">
        <v>45269</v>
      </c>
      <c r="H137" t="s">
        <v>25</v>
      </c>
      <c r="I137" t="s">
        <v>345</v>
      </c>
      <c r="J137" t="s">
        <v>26</v>
      </c>
      <c r="K137">
        <f>INDEX('LAB PRICES'!$C$2:$F$12, MATCH(tblLabs[[#This Row],[Code]], 'LAB PRICES'!$A$2:$A$12, 0), MATCH(tblLabs[[#This Row],[Facility]], 'LAB PRICES'!$C$1:$F$1, 0))</f>
        <v>5</v>
      </c>
      <c r="L137">
        <f>_xlfn.XLOOKUP(
    tblLabs[[#This Row],[Code]],
    'LAB PRICES'!$A$2:$A$12,
    'LAB PRICES'!$G$2:$G$12
)</f>
        <v>27</v>
      </c>
    </row>
    <row r="138" spans="1:12" x14ac:dyDescent="0.25">
      <c r="A138" t="s">
        <v>306</v>
      </c>
      <c r="B138" t="s">
        <v>307</v>
      </c>
      <c r="C138">
        <v>7</v>
      </c>
      <c r="D138" t="s">
        <v>342</v>
      </c>
      <c r="E138" t="s">
        <v>237</v>
      </c>
      <c r="F138" t="s">
        <v>1890</v>
      </c>
      <c r="G138" s="7">
        <v>45269</v>
      </c>
      <c r="I138" t="s">
        <v>343</v>
      </c>
      <c r="J138" t="s">
        <v>26</v>
      </c>
      <c r="K138">
        <f>INDEX('LAB PRICES'!$C$2:$F$12, MATCH(tblLabs[[#This Row],[Code]], 'LAB PRICES'!$A$2:$A$12, 0), MATCH(tblLabs[[#This Row],[Facility]], 'LAB PRICES'!$C$1:$F$1, 0))</f>
        <v>5</v>
      </c>
      <c r="L138">
        <f>_xlfn.XLOOKUP(
    tblLabs[[#This Row],[Code]],
    'LAB PRICES'!$A$2:$A$12,
    'LAB PRICES'!$G$2:$G$12
)</f>
        <v>27</v>
      </c>
    </row>
    <row r="139" spans="1:12" x14ac:dyDescent="0.25">
      <c r="A139" t="s">
        <v>306</v>
      </c>
      <c r="B139" t="s">
        <v>307</v>
      </c>
      <c r="C139">
        <v>6</v>
      </c>
      <c r="D139" t="s">
        <v>346</v>
      </c>
      <c r="E139" t="s">
        <v>14</v>
      </c>
      <c r="F139" t="s">
        <v>1891</v>
      </c>
      <c r="G139" s="7">
        <v>45269</v>
      </c>
      <c r="I139" t="s">
        <v>347</v>
      </c>
      <c r="J139" t="s">
        <v>26</v>
      </c>
      <c r="K139">
        <f>INDEX('LAB PRICES'!$C$2:$F$12, MATCH(tblLabs[[#This Row],[Code]], 'LAB PRICES'!$A$2:$A$12, 0), MATCH(tblLabs[[#This Row],[Facility]], 'LAB PRICES'!$C$1:$F$1, 0))</f>
        <v>30</v>
      </c>
      <c r="L139">
        <f>_xlfn.XLOOKUP(
    tblLabs[[#This Row],[Code]],
    'LAB PRICES'!$A$2:$A$12,
    'LAB PRICES'!$G$2:$G$12
)</f>
        <v>100</v>
      </c>
    </row>
    <row r="140" spans="1:12" x14ac:dyDescent="0.25">
      <c r="A140" t="s">
        <v>306</v>
      </c>
      <c r="B140" t="s">
        <v>307</v>
      </c>
      <c r="C140">
        <v>18</v>
      </c>
      <c r="D140" t="s">
        <v>339</v>
      </c>
      <c r="E140" t="s">
        <v>1878</v>
      </c>
      <c r="F140" t="s">
        <v>1889</v>
      </c>
      <c r="G140" s="7">
        <v>45268</v>
      </c>
      <c r="I140" t="s">
        <v>340</v>
      </c>
      <c r="J140" t="s">
        <v>26</v>
      </c>
      <c r="K140">
        <f>INDEX('LAB PRICES'!$C$2:$F$12, MATCH(tblLabs[[#This Row],[Code]], 'LAB PRICES'!$A$2:$A$12, 0), MATCH(tblLabs[[#This Row],[Facility]], 'LAB PRICES'!$C$1:$F$1, 0))</f>
        <v>5</v>
      </c>
      <c r="L140">
        <f>_xlfn.XLOOKUP(
    tblLabs[[#This Row],[Code]],
    'LAB PRICES'!$A$2:$A$12,
    'LAB PRICES'!$G$2:$G$12
)</f>
        <v>23</v>
      </c>
    </row>
    <row r="141" spans="1:12" x14ac:dyDescent="0.25">
      <c r="A141" t="s">
        <v>306</v>
      </c>
      <c r="B141" t="s">
        <v>307</v>
      </c>
      <c r="C141">
        <v>12</v>
      </c>
      <c r="D141" t="s">
        <v>337</v>
      </c>
      <c r="E141" t="s">
        <v>1878</v>
      </c>
      <c r="F141" t="s">
        <v>1889</v>
      </c>
      <c r="G141" s="7">
        <v>45268</v>
      </c>
      <c r="H141" t="s">
        <v>25</v>
      </c>
      <c r="I141" t="s">
        <v>338</v>
      </c>
      <c r="J141" t="s">
        <v>26</v>
      </c>
      <c r="K141">
        <f>INDEX('LAB PRICES'!$C$2:$F$12, MATCH(tblLabs[[#This Row],[Code]], 'LAB PRICES'!$A$2:$A$12, 0), MATCH(tblLabs[[#This Row],[Facility]], 'LAB PRICES'!$C$1:$F$1, 0))</f>
        <v>5</v>
      </c>
      <c r="L141">
        <f>_xlfn.XLOOKUP(
    tblLabs[[#This Row],[Code]],
    'LAB PRICES'!$A$2:$A$12,
    'LAB PRICES'!$G$2:$G$12
)</f>
        <v>23</v>
      </c>
    </row>
    <row r="142" spans="1:12" x14ac:dyDescent="0.25">
      <c r="A142" t="s">
        <v>306</v>
      </c>
      <c r="B142" t="s">
        <v>307</v>
      </c>
      <c r="C142">
        <v>18</v>
      </c>
      <c r="D142" t="s">
        <v>341</v>
      </c>
      <c r="E142" t="s">
        <v>1878</v>
      </c>
      <c r="F142" t="s">
        <v>1889</v>
      </c>
      <c r="G142" s="7">
        <v>45268</v>
      </c>
      <c r="H142" t="s">
        <v>25</v>
      </c>
      <c r="I142" t="s">
        <v>338</v>
      </c>
      <c r="J142" t="s">
        <v>26</v>
      </c>
      <c r="K142">
        <f>INDEX('LAB PRICES'!$C$2:$F$12, MATCH(tblLabs[[#This Row],[Code]], 'LAB PRICES'!$A$2:$A$12, 0), MATCH(tblLabs[[#This Row],[Facility]], 'LAB PRICES'!$C$1:$F$1, 0))</f>
        <v>5</v>
      </c>
      <c r="L142">
        <f>_xlfn.XLOOKUP(
    tblLabs[[#This Row],[Code]],
    'LAB PRICES'!$A$2:$A$12,
    'LAB PRICES'!$G$2:$G$12
)</f>
        <v>23</v>
      </c>
    </row>
    <row r="143" spans="1:12" x14ac:dyDescent="0.25">
      <c r="A143" t="s">
        <v>306</v>
      </c>
      <c r="B143" t="s">
        <v>307</v>
      </c>
      <c r="C143">
        <v>6</v>
      </c>
      <c r="D143" t="s">
        <v>348</v>
      </c>
      <c r="E143" t="s">
        <v>14</v>
      </c>
      <c r="F143" t="s">
        <v>1891</v>
      </c>
      <c r="G143" s="7">
        <v>45269</v>
      </c>
      <c r="H143" t="s">
        <v>25</v>
      </c>
      <c r="I143" t="s">
        <v>338</v>
      </c>
      <c r="J143" t="s">
        <v>26</v>
      </c>
      <c r="K143">
        <f>INDEX('LAB PRICES'!$C$2:$F$12, MATCH(tblLabs[[#This Row],[Code]], 'LAB PRICES'!$A$2:$A$12, 0), MATCH(tblLabs[[#This Row],[Facility]], 'LAB PRICES'!$C$1:$F$1, 0))</f>
        <v>30</v>
      </c>
      <c r="L143">
        <f>_xlfn.XLOOKUP(
    tblLabs[[#This Row],[Code]],
    'LAB PRICES'!$A$2:$A$12,
    'LAB PRICES'!$G$2:$G$12
)</f>
        <v>100</v>
      </c>
    </row>
    <row r="144" spans="1:12" x14ac:dyDescent="0.25">
      <c r="A144" t="s">
        <v>306</v>
      </c>
      <c r="B144" t="s">
        <v>307</v>
      </c>
      <c r="C144">
        <v>6</v>
      </c>
      <c r="D144" t="s">
        <v>351</v>
      </c>
      <c r="E144" t="s">
        <v>14</v>
      </c>
      <c r="F144" t="s">
        <v>1891</v>
      </c>
      <c r="G144" s="7">
        <v>45297</v>
      </c>
      <c r="H144" t="s">
        <v>25</v>
      </c>
      <c r="I144" t="s">
        <v>309</v>
      </c>
      <c r="J144" t="s">
        <v>26</v>
      </c>
      <c r="K144">
        <f>INDEX('LAB PRICES'!$C$2:$F$12, MATCH(tblLabs[[#This Row],[Code]], 'LAB PRICES'!$A$2:$A$12, 0), MATCH(tblLabs[[#This Row],[Facility]], 'LAB PRICES'!$C$1:$F$1, 0))</f>
        <v>30</v>
      </c>
      <c r="L144">
        <f>_xlfn.XLOOKUP(
    tblLabs[[#This Row],[Code]],
    'LAB PRICES'!$A$2:$A$12,
    'LAB PRICES'!$G$2:$G$12
)</f>
        <v>100</v>
      </c>
    </row>
    <row r="145" spans="1:12" x14ac:dyDescent="0.25">
      <c r="A145" t="s">
        <v>306</v>
      </c>
      <c r="B145" t="s">
        <v>307</v>
      </c>
      <c r="C145">
        <v>12</v>
      </c>
      <c r="D145" t="s">
        <v>350</v>
      </c>
      <c r="E145" t="s">
        <v>237</v>
      </c>
      <c r="F145" t="s">
        <v>1890</v>
      </c>
      <c r="G145" s="7">
        <v>45297</v>
      </c>
      <c r="H145" t="s">
        <v>25</v>
      </c>
      <c r="I145" t="s">
        <v>309</v>
      </c>
      <c r="J145" t="s">
        <v>26</v>
      </c>
      <c r="K145">
        <f>INDEX('LAB PRICES'!$C$2:$F$12, MATCH(tblLabs[[#This Row],[Code]], 'LAB PRICES'!$A$2:$A$12, 0), MATCH(tblLabs[[#This Row],[Facility]], 'LAB PRICES'!$C$1:$F$1, 0))</f>
        <v>5</v>
      </c>
      <c r="L145">
        <f>_xlfn.XLOOKUP(
    tblLabs[[#This Row],[Code]],
    'LAB PRICES'!$A$2:$A$12,
    'LAB PRICES'!$G$2:$G$12
)</f>
        <v>27</v>
      </c>
    </row>
    <row r="146" spans="1:12" x14ac:dyDescent="0.25">
      <c r="A146" t="s">
        <v>306</v>
      </c>
      <c r="B146" t="s">
        <v>307</v>
      </c>
      <c r="C146">
        <v>12</v>
      </c>
      <c r="D146" t="s">
        <v>349</v>
      </c>
      <c r="E146" t="s">
        <v>1878</v>
      </c>
      <c r="F146" t="s">
        <v>1889</v>
      </c>
      <c r="G146" s="7">
        <v>45296</v>
      </c>
      <c r="H146" t="s">
        <v>25</v>
      </c>
      <c r="I146" t="s">
        <v>309</v>
      </c>
      <c r="J146" t="s">
        <v>26</v>
      </c>
      <c r="K146">
        <f>INDEX('LAB PRICES'!$C$2:$F$12, MATCH(tblLabs[[#This Row],[Code]], 'LAB PRICES'!$A$2:$A$12, 0), MATCH(tblLabs[[#This Row],[Facility]], 'LAB PRICES'!$C$1:$F$1, 0))</f>
        <v>5</v>
      </c>
      <c r="L146">
        <f>_xlfn.XLOOKUP(
    tblLabs[[#This Row],[Code]],
    'LAB PRICES'!$A$2:$A$12,
    'LAB PRICES'!$G$2:$G$12
)</f>
        <v>23</v>
      </c>
    </row>
    <row r="147" spans="1:12" x14ac:dyDescent="0.25">
      <c r="A147" t="s">
        <v>306</v>
      </c>
      <c r="B147" t="s">
        <v>307</v>
      </c>
      <c r="C147">
        <v>18</v>
      </c>
      <c r="D147" t="s">
        <v>308</v>
      </c>
      <c r="E147" t="s">
        <v>1878</v>
      </c>
      <c r="F147" t="s">
        <v>1889</v>
      </c>
      <c r="G147" s="7">
        <v>44931</v>
      </c>
      <c r="H147" t="s">
        <v>25</v>
      </c>
      <c r="I147" t="s">
        <v>309</v>
      </c>
      <c r="J147" t="s">
        <v>26</v>
      </c>
      <c r="K147">
        <f>INDEX('LAB PRICES'!$C$2:$F$12, MATCH(tblLabs[[#This Row],[Code]], 'LAB PRICES'!$A$2:$A$12, 0), MATCH(tblLabs[[#This Row],[Facility]], 'LAB PRICES'!$C$1:$F$1, 0))</f>
        <v>5</v>
      </c>
      <c r="L147">
        <f>_xlfn.XLOOKUP(
    tblLabs[[#This Row],[Code]],
    'LAB PRICES'!$A$2:$A$12,
    'LAB PRICES'!$G$2:$G$12
)</f>
        <v>23</v>
      </c>
    </row>
    <row r="148" spans="1:12" x14ac:dyDescent="0.25">
      <c r="A148" t="s">
        <v>276</v>
      </c>
      <c r="B148" t="s">
        <v>275</v>
      </c>
      <c r="C148">
        <v>5</v>
      </c>
      <c r="D148" t="s">
        <v>251</v>
      </c>
      <c r="E148" t="s">
        <v>14</v>
      </c>
      <c r="F148" t="s">
        <v>1891</v>
      </c>
      <c r="G148" s="7">
        <v>45255</v>
      </c>
      <c r="H148" t="s">
        <v>71</v>
      </c>
      <c r="I148" t="s">
        <v>252</v>
      </c>
      <c r="J148" t="s">
        <v>8</v>
      </c>
      <c r="K148">
        <f>INDEX('LAB PRICES'!$C$2:$F$12, MATCH(tblLabs[[#This Row],[Code]], 'LAB PRICES'!$A$2:$A$12, 0), MATCH(tblLabs[[#This Row],[Facility]], 'LAB PRICES'!$C$1:$F$1, 0))</f>
        <v>40</v>
      </c>
      <c r="L148">
        <f>_xlfn.XLOOKUP(
    tblLabs[[#This Row],[Code]],
    'LAB PRICES'!$A$2:$A$12,
    'LAB PRICES'!$G$2:$G$12
)</f>
        <v>100</v>
      </c>
    </row>
    <row r="149" spans="1:12" x14ac:dyDescent="0.25">
      <c r="A149" t="s">
        <v>276</v>
      </c>
      <c r="B149" t="s">
        <v>275</v>
      </c>
      <c r="C149">
        <v>12</v>
      </c>
      <c r="D149" t="s">
        <v>245</v>
      </c>
      <c r="E149" t="s">
        <v>1878</v>
      </c>
      <c r="F149" t="s">
        <v>1889</v>
      </c>
      <c r="G149" s="7">
        <v>45251</v>
      </c>
      <c r="H149" t="s">
        <v>71</v>
      </c>
      <c r="I149" t="s">
        <v>246</v>
      </c>
      <c r="J149" t="s">
        <v>8</v>
      </c>
      <c r="K149">
        <f>INDEX('LAB PRICES'!$C$2:$F$12, MATCH(tblLabs[[#This Row],[Code]], 'LAB PRICES'!$A$2:$A$12, 0), MATCH(tblLabs[[#This Row],[Facility]], 'LAB PRICES'!$C$1:$F$1, 0))</f>
        <v>6</v>
      </c>
      <c r="L149">
        <f>_xlfn.XLOOKUP(
    tblLabs[[#This Row],[Code]],
    'LAB PRICES'!$A$2:$A$12,
    'LAB PRICES'!$G$2:$G$12
)</f>
        <v>23</v>
      </c>
    </row>
    <row r="150" spans="1:12" x14ac:dyDescent="0.25">
      <c r="A150" t="s">
        <v>276</v>
      </c>
      <c r="B150" t="s">
        <v>275</v>
      </c>
      <c r="C150">
        <v>12</v>
      </c>
      <c r="D150" t="s">
        <v>247</v>
      </c>
      <c r="E150" t="s">
        <v>1878</v>
      </c>
      <c r="F150" t="s">
        <v>1889</v>
      </c>
      <c r="G150" s="7">
        <v>45252</v>
      </c>
      <c r="H150" t="s">
        <v>71</v>
      </c>
      <c r="I150" t="s">
        <v>248</v>
      </c>
      <c r="J150" t="s">
        <v>8</v>
      </c>
      <c r="K150">
        <f>INDEX('LAB PRICES'!$C$2:$F$12, MATCH(tblLabs[[#This Row],[Code]], 'LAB PRICES'!$A$2:$A$12, 0), MATCH(tblLabs[[#This Row],[Facility]], 'LAB PRICES'!$C$1:$F$1, 0))</f>
        <v>6</v>
      </c>
      <c r="L150">
        <f>_xlfn.XLOOKUP(
    tblLabs[[#This Row],[Code]],
    'LAB PRICES'!$A$2:$A$12,
    'LAB PRICES'!$G$2:$G$12
)</f>
        <v>23</v>
      </c>
    </row>
    <row r="151" spans="1:12" x14ac:dyDescent="0.25">
      <c r="A151" t="s">
        <v>276</v>
      </c>
      <c r="B151" t="s">
        <v>275</v>
      </c>
      <c r="C151">
        <v>14</v>
      </c>
      <c r="D151" t="s">
        <v>249</v>
      </c>
      <c r="E151" t="s">
        <v>1878</v>
      </c>
      <c r="F151" t="s">
        <v>1889</v>
      </c>
      <c r="G151" s="7">
        <v>45254</v>
      </c>
      <c r="H151" t="s">
        <v>71</v>
      </c>
      <c r="I151" t="s">
        <v>250</v>
      </c>
      <c r="J151" t="s">
        <v>8</v>
      </c>
      <c r="K151">
        <f>INDEX('LAB PRICES'!$C$2:$F$12, MATCH(tblLabs[[#This Row],[Code]], 'LAB PRICES'!$A$2:$A$12, 0), MATCH(tblLabs[[#This Row],[Facility]], 'LAB PRICES'!$C$1:$F$1, 0))</f>
        <v>6</v>
      </c>
      <c r="L151">
        <f>_xlfn.XLOOKUP(
    tblLabs[[#This Row],[Code]],
    'LAB PRICES'!$A$2:$A$12,
    'LAB PRICES'!$G$2:$G$12
)</f>
        <v>23</v>
      </c>
    </row>
    <row r="152" spans="1:12" x14ac:dyDescent="0.25">
      <c r="A152" t="s">
        <v>276</v>
      </c>
      <c r="B152" t="s">
        <v>275</v>
      </c>
      <c r="C152">
        <v>14</v>
      </c>
      <c r="D152" t="s">
        <v>253</v>
      </c>
      <c r="E152" t="s">
        <v>1878</v>
      </c>
      <c r="F152" t="s">
        <v>1889</v>
      </c>
      <c r="G152" s="7">
        <v>45255</v>
      </c>
      <c r="H152" t="s">
        <v>71</v>
      </c>
      <c r="I152" t="s">
        <v>250</v>
      </c>
      <c r="J152" t="s">
        <v>8</v>
      </c>
      <c r="K152">
        <f>INDEX('LAB PRICES'!$C$2:$F$12, MATCH(tblLabs[[#This Row],[Code]], 'LAB PRICES'!$A$2:$A$12, 0), MATCH(tblLabs[[#This Row],[Facility]], 'LAB PRICES'!$C$1:$F$1, 0))</f>
        <v>6</v>
      </c>
      <c r="L152">
        <f>_xlfn.XLOOKUP(
    tblLabs[[#This Row],[Code]],
    'LAB PRICES'!$A$2:$A$12,
    'LAB PRICES'!$G$2:$G$12
)</f>
        <v>23</v>
      </c>
    </row>
    <row r="153" spans="1:12" x14ac:dyDescent="0.25">
      <c r="A153" t="s">
        <v>276</v>
      </c>
      <c r="B153" t="s">
        <v>275</v>
      </c>
      <c r="C153">
        <v>5</v>
      </c>
      <c r="D153" t="s">
        <v>273</v>
      </c>
      <c r="E153" t="s">
        <v>14</v>
      </c>
      <c r="F153" t="s">
        <v>1891</v>
      </c>
      <c r="G153" s="7">
        <v>45269</v>
      </c>
      <c r="H153" t="s">
        <v>71</v>
      </c>
      <c r="I153" t="s">
        <v>255</v>
      </c>
      <c r="J153" t="s">
        <v>8</v>
      </c>
      <c r="K153">
        <f>INDEX('LAB PRICES'!$C$2:$F$12, MATCH(tblLabs[[#This Row],[Code]], 'LAB PRICES'!$A$2:$A$12, 0), MATCH(tblLabs[[#This Row],[Facility]], 'LAB PRICES'!$C$1:$F$1, 0))</f>
        <v>40</v>
      </c>
      <c r="L153">
        <f>_xlfn.XLOOKUP(
    tblLabs[[#This Row],[Code]],
    'LAB PRICES'!$A$2:$A$12,
    'LAB PRICES'!$G$2:$G$12
)</f>
        <v>100</v>
      </c>
    </row>
    <row r="154" spans="1:12" x14ac:dyDescent="0.25">
      <c r="A154" t="s">
        <v>276</v>
      </c>
      <c r="B154" t="s">
        <v>275</v>
      </c>
      <c r="C154">
        <v>5</v>
      </c>
      <c r="D154" t="s">
        <v>268</v>
      </c>
      <c r="E154" t="s">
        <v>14</v>
      </c>
      <c r="F154" t="s">
        <v>1891</v>
      </c>
      <c r="G154" s="7">
        <v>45288</v>
      </c>
      <c r="H154" t="s">
        <v>71</v>
      </c>
      <c r="I154" t="s">
        <v>266</v>
      </c>
      <c r="J154" t="s">
        <v>8</v>
      </c>
      <c r="K154">
        <f>INDEX('LAB PRICES'!$C$2:$F$12, MATCH(tblLabs[[#This Row],[Code]], 'LAB PRICES'!$A$2:$A$12, 0), MATCH(tblLabs[[#This Row],[Facility]], 'LAB PRICES'!$C$1:$F$1, 0))</f>
        <v>40</v>
      </c>
      <c r="L154">
        <f>_xlfn.XLOOKUP(
    tblLabs[[#This Row],[Code]],
    'LAB PRICES'!$A$2:$A$12,
    'LAB PRICES'!$G$2:$G$12
)</f>
        <v>100</v>
      </c>
    </row>
    <row r="155" spans="1:12" x14ac:dyDescent="0.25">
      <c r="A155" t="s">
        <v>276</v>
      </c>
      <c r="B155" t="s">
        <v>275</v>
      </c>
      <c r="C155">
        <v>8</v>
      </c>
      <c r="D155" t="s">
        <v>254</v>
      </c>
      <c r="E155" t="s">
        <v>1878</v>
      </c>
      <c r="F155" t="s">
        <v>1889</v>
      </c>
      <c r="G155" s="7">
        <v>45268</v>
      </c>
      <c r="H155" t="s">
        <v>71</v>
      </c>
      <c r="I155" t="s">
        <v>255</v>
      </c>
      <c r="J155" t="s">
        <v>8</v>
      </c>
      <c r="K155">
        <f>INDEX('LAB PRICES'!$C$2:$F$12, MATCH(tblLabs[[#This Row],[Code]], 'LAB PRICES'!$A$2:$A$12, 0), MATCH(tblLabs[[#This Row],[Facility]], 'LAB PRICES'!$C$1:$F$1, 0))</f>
        <v>6</v>
      </c>
      <c r="L155">
        <f>_xlfn.XLOOKUP(
    tblLabs[[#This Row],[Code]],
    'LAB PRICES'!$A$2:$A$12,
    'LAB PRICES'!$G$2:$G$12
)</f>
        <v>23</v>
      </c>
    </row>
    <row r="156" spans="1:12" x14ac:dyDescent="0.25">
      <c r="A156" t="s">
        <v>276</v>
      </c>
      <c r="B156" t="s">
        <v>275</v>
      </c>
      <c r="C156">
        <v>12</v>
      </c>
      <c r="D156" t="s">
        <v>256</v>
      </c>
      <c r="E156" t="s">
        <v>1878</v>
      </c>
      <c r="F156" t="s">
        <v>1889</v>
      </c>
      <c r="G156" s="7">
        <v>45268</v>
      </c>
      <c r="H156" t="s">
        <v>71</v>
      </c>
      <c r="I156" t="s">
        <v>255</v>
      </c>
      <c r="J156" t="s">
        <v>8</v>
      </c>
      <c r="K156">
        <f>INDEX('LAB PRICES'!$C$2:$F$12, MATCH(tblLabs[[#This Row],[Code]], 'LAB PRICES'!$A$2:$A$12, 0), MATCH(tblLabs[[#This Row],[Facility]], 'LAB PRICES'!$C$1:$F$1, 0))</f>
        <v>6</v>
      </c>
      <c r="L156">
        <f>_xlfn.XLOOKUP(
    tblLabs[[#This Row],[Code]],
    'LAB PRICES'!$A$2:$A$12,
    'LAB PRICES'!$G$2:$G$12
)</f>
        <v>23</v>
      </c>
    </row>
    <row r="157" spans="1:12" x14ac:dyDescent="0.25">
      <c r="A157" t="s">
        <v>276</v>
      </c>
      <c r="B157" t="s">
        <v>275</v>
      </c>
      <c r="C157">
        <v>12</v>
      </c>
      <c r="D157" t="s">
        <v>257</v>
      </c>
      <c r="E157" t="s">
        <v>237</v>
      </c>
      <c r="F157" t="s">
        <v>1890</v>
      </c>
      <c r="G157" s="7">
        <v>45269</v>
      </c>
      <c r="H157" t="s">
        <v>71</v>
      </c>
      <c r="I157" t="s">
        <v>255</v>
      </c>
      <c r="J157" t="s">
        <v>8</v>
      </c>
      <c r="K157">
        <f>INDEX('LAB PRICES'!$C$2:$F$12, MATCH(tblLabs[[#This Row],[Code]], 'LAB PRICES'!$A$2:$A$12, 0), MATCH(tblLabs[[#This Row],[Facility]], 'LAB PRICES'!$C$1:$F$1, 0))</f>
        <v>6</v>
      </c>
      <c r="L157">
        <f>_xlfn.XLOOKUP(
    tblLabs[[#This Row],[Code]],
    'LAB PRICES'!$A$2:$A$12,
    'LAB PRICES'!$G$2:$G$12
)</f>
        <v>27</v>
      </c>
    </row>
    <row r="158" spans="1:12" x14ac:dyDescent="0.25">
      <c r="A158" t="s">
        <v>276</v>
      </c>
      <c r="B158" t="s">
        <v>275</v>
      </c>
      <c r="C158">
        <v>20</v>
      </c>
      <c r="D158" t="s">
        <v>258</v>
      </c>
      <c r="E158" t="s">
        <v>1878</v>
      </c>
      <c r="F158" t="s">
        <v>1889</v>
      </c>
      <c r="G158" s="7">
        <v>45269</v>
      </c>
      <c r="H158" t="s">
        <v>71</v>
      </c>
      <c r="I158" t="s">
        <v>255</v>
      </c>
      <c r="J158" t="s">
        <v>8</v>
      </c>
      <c r="K158">
        <f>INDEX('LAB PRICES'!$C$2:$F$12, MATCH(tblLabs[[#This Row],[Code]], 'LAB PRICES'!$A$2:$A$12, 0), MATCH(tblLabs[[#This Row],[Facility]], 'LAB PRICES'!$C$1:$F$1, 0))</f>
        <v>6</v>
      </c>
      <c r="L158">
        <f>_xlfn.XLOOKUP(
    tblLabs[[#This Row],[Code]],
    'LAB PRICES'!$A$2:$A$12,
    'LAB PRICES'!$G$2:$G$12
)</f>
        <v>23</v>
      </c>
    </row>
    <row r="159" spans="1:12" x14ac:dyDescent="0.25">
      <c r="A159" t="s">
        <v>276</v>
      </c>
      <c r="B159" t="s">
        <v>275</v>
      </c>
      <c r="C159">
        <v>55</v>
      </c>
      <c r="D159" t="s">
        <v>261</v>
      </c>
      <c r="E159" t="s">
        <v>1878</v>
      </c>
      <c r="F159" t="s">
        <v>1889</v>
      </c>
      <c r="G159" s="7">
        <v>45283</v>
      </c>
      <c r="H159" t="s">
        <v>136</v>
      </c>
      <c r="I159" t="s">
        <v>246</v>
      </c>
      <c r="J159" t="s">
        <v>8</v>
      </c>
      <c r="K159">
        <f>INDEX('LAB PRICES'!$C$2:$F$12, MATCH(tblLabs[[#This Row],[Code]], 'LAB PRICES'!$A$2:$A$12, 0), MATCH(tblLabs[[#This Row],[Facility]], 'LAB PRICES'!$C$1:$F$1, 0))</f>
        <v>6</v>
      </c>
      <c r="L159">
        <f>_xlfn.XLOOKUP(
    tblLabs[[#This Row],[Code]],
    'LAB PRICES'!$A$2:$A$12,
    'LAB PRICES'!$G$2:$G$12
)</f>
        <v>23</v>
      </c>
    </row>
    <row r="160" spans="1:12" x14ac:dyDescent="0.25">
      <c r="A160" t="s">
        <v>276</v>
      </c>
      <c r="B160" t="s">
        <v>275</v>
      </c>
      <c r="C160">
        <v>12</v>
      </c>
      <c r="D160" t="s">
        <v>259</v>
      </c>
      <c r="E160" t="s">
        <v>1878</v>
      </c>
      <c r="F160" t="s">
        <v>1889</v>
      </c>
      <c r="G160" s="7">
        <v>45282</v>
      </c>
      <c r="H160" t="s">
        <v>136</v>
      </c>
      <c r="I160" t="s">
        <v>246</v>
      </c>
      <c r="J160" t="s">
        <v>8</v>
      </c>
      <c r="K160">
        <f>INDEX('LAB PRICES'!$C$2:$F$12, MATCH(tblLabs[[#This Row],[Code]], 'LAB PRICES'!$A$2:$A$12, 0), MATCH(tblLabs[[#This Row],[Facility]], 'LAB PRICES'!$C$1:$F$1, 0))</f>
        <v>6</v>
      </c>
      <c r="L160">
        <f>_xlfn.XLOOKUP(
    tblLabs[[#This Row],[Code]],
    'LAB PRICES'!$A$2:$A$12,
    'LAB PRICES'!$G$2:$G$12
)</f>
        <v>23</v>
      </c>
    </row>
    <row r="161" spans="1:12" x14ac:dyDescent="0.25">
      <c r="A161" t="s">
        <v>276</v>
      </c>
      <c r="B161" t="s">
        <v>275</v>
      </c>
      <c r="C161">
        <v>12</v>
      </c>
      <c r="D161" t="s">
        <v>260</v>
      </c>
      <c r="E161" t="s">
        <v>1878</v>
      </c>
      <c r="F161" t="s">
        <v>1889</v>
      </c>
      <c r="G161" s="7">
        <v>45282</v>
      </c>
      <c r="H161" t="s">
        <v>136</v>
      </c>
      <c r="I161" t="s">
        <v>246</v>
      </c>
      <c r="J161" t="s">
        <v>8</v>
      </c>
      <c r="K161">
        <f>INDEX('LAB PRICES'!$C$2:$F$12, MATCH(tblLabs[[#This Row],[Code]], 'LAB PRICES'!$A$2:$A$12, 0), MATCH(tblLabs[[#This Row],[Facility]], 'LAB PRICES'!$C$1:$F$1, 0))</f>
        <v>6</v>
      </c>
      <c r="L161">
        <f>_xlfn.XLOOKUP(
    tblLabs[[#This Row],[Code]],
    'LAB PRICES'!$A$2:$A$12,
    'LAB PRICES'!$G$2:$G$12
)</f>
        <v>23</v>
      </c>
    </row>
    <row r="162" spans="1:12" x14ac:dyDescent="0.25">
      <c r="A162" t="s">
        <v>276</v>
      </c>
      <c r="B162" t="s">
        <v>275</v>
      </c>
      <c r="C162">
        <v>16</v>
      </c>
      <c r="D162" t="s">
        <v>262</v>
      </c>
      <c r="E162" t="s">
        <v>1878</v>
      </c>
      <c r="F162" t="s">
        <v>1889</v>
      </c>
      <c r="G162" s="7">
        <v>45286</v>
      </c>
      <c r="H162" t="s">
        <v>136</v>
      </c>
      <c r="I162" t="s">
        <v>246</v>
      </c>
      <c r="J162" t="s">
        <v>8</v>
      </c>
      <c r="K162">
        <f>INDEX('LAB PRICES'!$C$2:$F$12, MATCH(tblLabs[[#This Row],[Code]], 'LAB PRICES'!$A$2:$A$12, 0), MATCH(tblLabs[[#This Row],[Facility]], 'LAB PRICES'!$C$1:$F$1, 0))</f>
        <v>6</v>
      </c>
      <c r="L162">
        <f>_xlfn.XLOOKUP(
    tblLabs[[#This Row],[Code]],
    'LAB PRICES'!$A$2:$A$12,
    'LAB PRICES'!$G$2:$G$12
)</f>
        <v>23</v>
      </c>
    </row>
    <row r="163" spans="1:12" x14ac:dyDescent="0.25">
      <c r="A163" t="s">
        <v>276</v>
      </c>
      <c r="B163" t="s">
        <v>275</v>
      </c>
      <c r="C163">
        <v>14</v>
      </c>
      <c r="D163" t="s">
        <v>263</v>
      </c>
      <c r="E163" t="s">
        <v>1878</v>
      </c>
      <c r="F163" t="s">
        <v>1889</v>
      </c>
      <c r="G163" s="7">
        <v>45286</v>
      </c>
      <c r="H163" t="s">
        <v>7</v>
      </c>
      <c r="I163" t="s">
        <v>264</v>
      </c>
      <c r="J163" t="s">
        <v>8</v>
      </c>
      <c r="K163">
        <f>INDEX('LAB PRICES'!$C$2:$F$12, MATCH(tblLabs[[#This Row],[Code]], 'LAB PRICES'!$A$2:$A$12, 0), MATCH(tblLabs[[#This Row],[Facility]], 'LAB PRICES'!$C$1:$F$1, 0))</f>
        <v>6</v>
      </c>
      <c r="L163">
        <f>_xlfn.XLOOKUP(
    tblLabs[[#This Row],[Code]],
    'LAB PRICES'!$A$2:$A$12,
    'LAB PRICES'!$G$2:$G$12
)</f>
        <v>23</v>
      </c>
    </row>
    <row r="164" spans="1:12" x14ac:dyDescent="0.25">
      <c r="A164" t="s">
        <v>276</v>
      </c>
      <c r="B164" t="s">
        <v>275</v>
      </c>
      <c r="C164">
        <v>14</v>
      </c>
      <c r="D164" t="s">
        <v>265</v>
      </c>
      <c r="E164" t="s">
        <v>1878</v>
      </c>
      <c r="F164" t="s">
        <v>1889</v>
      </c>
      <c r="G164" s="7">
        <v>45287</v>
      </c>
      <c r="H164" t="s">
        <v>62</v>
      </c>
      <c r="I164" t="s">
        <v>266</v>
      </c>
      <c r="J164" t="s">
        <v>8</v>
      </c>
      <c r="K164">
        <f>INDEX('LAB PRICES'!$C$2:$F$12, MATCH(tblLabs[[#This Row],[Code]], 'LAB PRICES'!$A$2:$A$12, 0), MATCH(tblLabs[[#This Row],[Facility]], 'LAB PRICES'!$C$1:$F$1, 0))</f>
        <v>6</v>
      </c>
      <c r="L164">
        <f>_xlfn.XLOOKUP(
    tblLabs[[#This Row],[Code]],
    'LAB PRICES'!$A$2:$A$12,
    'LAB PRICES'!$G$2:$G$12
)</f>
        <v>23</v>
      </c>
    </row>
    <row r="165" spans="1:12" x14ac:dyDescent="0.25">
      <c r="A165" t="s">
        <v>276</v>
      </c>
      <c r="B165" t="s">
        <v>275</v>
      </c>
      <c r="C165">
        <v>14</v>
      </c>
      <c r="D165" t="s">
        <v>267</v>
      </c>
      <c r="E165" t="s">
        <v>1878</v>
      </c>
      <c r="F165" t="s">
        <v>1889</v>
      </c>
      <c r="G165" s="7">
        <v>45287</v>
      </c>
      <c r="H165" t="s">
        <v>7</v>
      </c>
      <c r="I165" t="s">
        <v>266</v>
      </c>
      <c r="J165" t="s">
        <v>8</v>
      </c>
      <c r="K165">
        <f>INDEX('LAB PRICES'!$C$2:$F$12, MATCH(tblLabs[[#This Row],[Code]], 'LAB PRICES'!$A$2:$A$12, 0), MATCH(tblLabs[[#This Row],[Facility]], 'LAB PRICES'!$C$1:$F$1, 0))</f>
        <v>6</v>
      </c>
      <c r="L165">
        <f>_xlfn.XLOOKUP(
    tblLabs[[#This Row],[Code]],
    'LAB PRICES'!$A$2:$A$12,
    'LAB PRICES'!$G$2:$G$12
)</f>
        <v>23</v>
      </c>
    </row>
    <row r="166" spans="1:12" x14ac:dyDescent="0.25">
      <c r="A166" t="s">
        <v>276</v>
      </c>
      <c r="B166" t="s">
        <v>275</v>
      </c>
      <c r="C166">
        <v>12</v>
      </c>
      <c r="D166" t="s">
        <v>269</v>
      </c>
      <c r="E166" t="s">
        <v>237</v>
      </c>
      <c r="F166" t="s">
        <v>1890</v>
      </c>
      <c r="G166" s="7">
        <v>45288</v>
      </c>
      <c r="H166" t="s">
        <v>71</v>
      </c>
      <c r="I166" t="s">
        <v>270</v>
      </c>
      <c r="J166" t="s">
        <v>8</v>
      </c>
      <c r="K166">
        <f>INDEX('LAB PRICES'!$C$2:$F$12, MATCH(tblLabs[[#This Row],[Code]], 'LAB PRICES'!$A$2:$A$12, 0), MATCH(tblLabs[[#This Row],[Facility]], 'LAB PRICES'!$C$1:$F$1, 0))</f>
        <v>6</v>
      </c>
      <c r="L166">
        <f>_xlfn.XLOOKUP(
    tblLabs[[#This Row],[Code]],
    'LAB PRICES'!$A$2:$A$12,
    'LAB PRICES'!$G$2:$G$12
)</f>
        <v>27</v>
      </c>
    </row>
    <row r="167" spans="1:12" x14ac:dyDescent="0.25">
      <c r="A167" t="s">
        <v>276</v>
      </c>
      <c r="B167" t="s">
        <v>275</v>
      </c>
      <c r="C167">
        <v>5</v>
      </c>
      <c r="D167" t="s">
        <v>274</v>
      </c>
      <c r="E167" t="s">
        <v>14</v>
      </c>
      <c r="F167" t="s">
        <v>1891</v>
      </c>
      <c r="G167" s="7">
        <v>45475</v>
      </c>
      <c r="H167" t="s">
        <v>71</v>
      </c>
      <c r="I167" t="s">
        <v>272</v>
      </c>
      <c r="J167" t="s">
        <v>8</v>
      </c>
      <c r="K167">
        <f>INDEX('LAB PRICES'!$C$2:$F$12, MATCH(tblLabs[[#This Row],[Code]], 'LAB PRICES'!$A$2:$A$12, 0), MATCH(tblLabs[[#This Row],[Facility]], 'LAB PRICES'!$C$1:$F$1, 0))</f>
        <v>40</v>
      </c>
      <c r="L167">
        <f>_xlfn.XLOOKUP(
    tblLabs[[#This Row],[Code]],
    'LAB PRICES'!$A$2:$A$12,
    'LAB PRICES'!$G$2:$G$12
)</f>
        <v>100</v>
      </c>
    </row>
    <row r="168" spans="1:12" x14ac:dyDescent="0.25">
      <c r="A168" t="s">
        <v>276</v>
      </c>
      <c r="B168" t="s">
        <v>275</v>
      </c>
      <c r="C168">
        <v>12</v>
      </c>
      <c r="D168" t="s">
        <v>2557</v>
      </c>
      <c r="E168" t="s">
        <v>1878</v>
      </c>
      <c r="F168" t="s">
        <v>1889</v>
      </c>
      <c r="G168" s="7">
        <v>45474</v>
      </c>
      <c r="H168" t="s">
        <v>71</v>
      </c>
      <c r="I168" t="s">
        <v>272</v>
      </c>
      <c r="J168" t="s">
        <v>8</v>
      </c>
      <c r="K168">
        <f>INDEX('LAB PRICES'!$C$2:$F$12, MATCH(tblLabs[[#This Row],[Code]], 'LAB PRICES'!$A$2:$A$12, 0), MATCH(tblLabs[[#This Row],[Facility]], 'LAB PRICES'!$C$1:$F$1, 0))</f>
        <v>6</v>
      </c>
      <c r="L168">
        <f>_xlfn.XLOOKUP(
    tblLabs[[#This Row],[Code]],
    'LAB PRICES'!$A$2:$A$12,
    'LAB PRICES'!$G$2:$G$12
)</f>
        <v>23</v>
      </c>
    </row>
    <row r="169" spans="1:12" x14ac:dyDescent="0.25">
      <c r="A169" t="s">
        <v>276</v>
      </c>
      <c r="B169" t="s">
        <v>275</v>
      </c>
      <c r="C169">
        <v>12</v>
      </c>
      <c r="D169" t="s">
        <v>2558</v>
      </c>
      <c r="E169" t="s">
        <v>237</v>
      </c>
      <c r="F169" t="s">
        <v>1890</v>
      </c>
      <c r="G169" s="7">
        <v>45475</v>
      </c>
      <c r="H169" t="s">
        <v>71</v>
      </c>
      <c r="I169" t="s">
        <v>272</v>
      </c>
      <c r="J169" t="s">
        <v>8</v>
      </c>
      <c r="K169">
        <f>INDEX('LAB PRICES'!$C$2:$F$12, MATCH(tblLabs[[#This Row],[Code]], 'LAB PRICES'!$A$2:$A$12, 0), MATCH(tblLabs[[#This Row],[Facility]], 'LAB PRICES'!$C$1:$F$1, 0))</f>
        <v>6</v>
      </c>
      <c r="L169">
        <f>_xlfn.XLOOKUP(
    tblLabs[[#This Row],[Code]],
    'LAB PRICES'!$A$2:$A$12,
    'LAB PRICES'!$G$2:$G$12
)</f>
        <v>27</v>
      </c>
    </row>
    <row r="170" spans="1:12" x14ac:dyDescent="0.25">
      <c r="A170" t="s">
        <v>276</v>
      </c>
      <c r="B170" t="s">
        <v>275</v>
      </c>
      <c r="C170">
        <v>14</v>
      </c>
      <c r="D170" t="s">
        <v>2559</v>
      </c>
      <c r="E170" t="s">
        <v>1878</v>
      </c>
      <c r="F170" t="s">
        <v>1889</v>
      </c>
      <c r="G170" s="7">
        <v>45475</v>
      </c>
      <c r="H170" t="s">
        <v>71</v>
      </c>
      <c r="I170" t="s">
        <v>272</v>
      </c>
      <c r="J170" t="s">
        <v>8</v>
      </c>
      <c r="K170">
        <f>INDEX('LAB PRICES'!$C$2:$F$12, MATCH(tblLabs[[#This Row],[Code]], 'LAB PRICES'!$A$2:$A$12, 0), MATCH(tblLabs[[#This Row],[Facility]], 'LAB PRICES'!$C$1:$F$1, 0))</f>
        <v>6</v>
      </c>
      <c r="L170">
        <f>_xlfn.XLOOKUP(
    tblLabs[[#This Row],[Code]],
    'LAB PRICES'!$A$2:$A$12,
    'LAB PRICES'!$G$2:$G$12
)</f>
        <v>23</v>
      </c>
    </row>
    <row r="171" spans="1:12" x14ac:dyDescent="0.25">
      <c r="A171" t="s">
        <v>276</v>
      </c>
      <c r="B171" t="s">
        <v>275</v>
      </c>
      <c r="C171">
        <v>12</v>
      </c>
      <c r="D171" t="s">
        <v>2560</v>
      </c>
      <c r="E171" t="s">
        <v>1878</v>
      </c>
      <c r="F171" t="s">
        <v>1889</v>
      </c>
      <c r="G171" s="7">
        <v>45474</v>
      </c>
      <c r="H171" t="s">
        <v>71</v>
      </c>
      <c r="I171" t="s">
        <v>272</v>
      </c>
      <c r="J171" t="s">
        <v>8</v>
      </c>
      <c r="K171">
        <f>INDEX('LAB PRICES'!$C$2:$F$12, MATCH(tblLabs[[#This Row],[Code]], 'LAB PRICES'!$A$2:$A$12, 0), MATCH(tblLabs[[#This Row],[Facility]], 'LAB PRICES'!$C$1:$F$1, 0))</f>
        <v>6</v>
      </c>
      <c r="L171">
        <f>_xlfn.XLOOKUP(
    tblLabs[[#This Row],[Code]],
    'LAB PRICES'!$A$2:$A$12,
    'LAB PRICES'!$G$2:$G$12
)</f>
        <v>23</v>
      </c>
    </row>
    <row r="172" spans="1:12" x14ac:dyDescent="0.25">
      <c r="A172" t="s">
        <v>276</v>
      </c>
      <c r="B172" t="s">
        <v>275</v>
      </c>
      <c r="C172">
        <v>14</v>
      </c>
      <c r="D172" t="s">
        <v>271</v>
      </c>
      <c r="E172" t="s">
        <v>1878</v>
      </c>
      <c r="F172" t="s">
        <v>1889</v>
      </c>
      <c r="G172" s="7">
        <v>45288</v>
      </c>
      <c r="H172" t="s">
        <v>7</v>
      </c>
      <c r="I172" t="s">
        <v>266</v>
      </c>
      <c r="J172" t="s">
        <v>8</v>
      </c>
      <c r="K172">
        <f>INDEX('LAB PRICES'!$C$2:$F$12, MATCH(tblLabs[[#This Row],[Code]], 'LAB PRICES'!$A$2:$A$12, 0), MATCH(tblLabs[[#This Row],[Facility]], 'LAB PRICES'!$C$1:$F$1, 0))</f>
        <v>6</v>
      </c>
      <c r="L172">
        <f>_xlfn.XLOOKUP(
    tblLabs[[#This Row],[Code]],
    'LAB PRICES'!$A$2:$A$12,
    'LAB PRICES'!$G$2:$G$12
)</f>
        <v>23</v>
      </c>
    </row>
    <row r="173" spans="1:12" x14ac:dyDescent="0.25">
      <c r="A173" t="s">
        <v>1630</v>
      </c>
      <c r="B173" t="s">
        <v>1730</v>
      </c>
      <c r="C173">
        <v>12</v>
      </c>
      <c r="D173" t="s">
        <v>2572</v>
      </c>
      <c r="E173" t="s">
        <v>61</v>
      </c>
      <c r="F173" t="s">
        <v>1892</v>
      </c>
      <c r="G173" s="7">
        <v>45175</v>
      </c>
      <c r="H173" t="s">
        <v>62</v>
      </c>
      <c r="I173" t="s">
        <v>1804</v>
      </c>
      <c r="J173" t="s">
        <v>8</v>
      </c>
      <c r="K173">
        <f>INDEX('LAB PRICES'!$C$2:$F$12, MATCH(tblLabs[[#This Row],[Code]], 'LAB PRICES'!$A$2:$A$12, 0), MATCH(tblLabs[[#This Row],[Facility]], 'LAB PRICES'!$C$1:$F$1, 0))</f>
        <v>16</v>
      </c>
      <c r="L173">
        <f>_xlfn.XLOOKUP(
    tblLabs[[#This Row],[Code]],
    'LAB PRICES'!$A$2:$A$12,
    'LAB PRICES'!$G$2:$G$12
)</f>
        <v>23</v>
      </c>
    </row>
    <row r="174" spans="1:12" x14ac:dyDescent="0.25">
      <c r="A174" t="s">
        <v>1630</v>
      </c>
      <c r="B174" t="s">
        <v>1730</v>
      </c>
      <c r="C174">
        <v>48</v>
      </c>
      <c r="D174" t="s">
        <v>2585</v>
      </c>
      <c r="E174" t="s">
        <v>466</v>
      </c>
      <c r="F174" t="s">
        <v>1893</v>
      </c>
      <c r="G174" s="7">
        <v>45175</v>
      </c>
      <c r="H174" t="s">
        <v>62</v>
      </c>
      <c r="I174" t="s">
        <v>1804</v>
      </c>
      <c r="J174" t="s">
        <v>8</v>
      </c>
      <c r="K174">
        <f>INDEX('LAB PRICES'!$C$2:$F$12, MATCH(tblLabs[[#This Row],[Code]], 'LAB PRICES'!$A$2:$A$12, 0), MATCH(tblLabs[[#This Row],[Facility]], 'LAB PRICES'!$C$1:$F$1, 0))</f>
        <v>6</v>
      </c>
      <c r="L174">
        <f>_xlfn.XLOOKUP(
    tblLabs[[#This Row],[Code]],
    'LAB PRICES'!$A$2:$A$12,
    'LAB PRICES'!$G$2:$G$12
)</f>
        <v>40</v>
      </c>
    </row>
    <row r="175" spans="1:12" x14ac:dyDescent="0.25">
      <c r="A175" t="s">
        <v>1630</v>
      </c>
      <c r="B175" t="s">
        <v>1730</v>
      </c>
      <c r="C175">
        <v>47</v>
      </c>
      <c r="D175" t="s">
        <v>2596</v>
      </c>
      <c r="E175" t="s">
        <v>467</v>
      </c>
      <c r="F175" t="s">
        <v>1894</v>
      </c>
      <c r="G175" s="7">
        <v>45175</v>
      </c>
      <c r="H175" t="s">
        <v>62</v>
      </c>
      <c r="I175" t="s">
        <v>1804</v>
      </c>
      <c r="J175" t="s">
        <v>26</v>
      </c>
      <c r="K175">
        <f>INDEX('LAB PRICES'!$C$2:$F$12, MATCH(tblLabs[[#This Row],[Code]], 'LAB PRICES'!$A$2:$A$12, 0), MATCH(tblLabs[[#This Row],[Facility]], 'LAB PRICES'!$C$1:$F$1, 0))</f>
        <v>20</v>
      </c>
      <c r="L175">
        <f>_xlfn.XLOOKUP(
    tblLabs[[#This Row],[Code]],
    'LAB PRICES'!$A$2:$A$12,
    'LAB PRICES'!$G$2:$G$12
)</f>
        <v>70</v>
      </c>
    </row>
    <row r="176" spans="1:12" x14ac:dyDescent="0.25">
      <c r="A176" t="s">
        <v>1630</v>
      </c>
      <c r="B176" t="s">
        <v>1730</v>
      </c>
      <c r="C176">
        <v>7</v>
      </c>
      <c r="D176" t="s">
        <v>1805</v>
      </c>
      <c r="E176" t="s">
        <v>1806</v>
      </c>
      <c r="F176" t="s">
        <v>1890</v>
      </c>
      <c r="G176" s="7">
        <v>45175</v>
      </c>
      <c r="H176" t="s">
        <v>71</v>
      </c>
      <c r="I176" t="s">
        <v>1807</v>
      </c>
      <c r="J176" t="s">
        <v>8</v>
      </c>
      <c r="K176">
        <f>INDEX('LAB PRICES'!$C$2:$F$12, MATCH(tblLabs[[#This Row],[Code]], 'LAB PRICES'!$A$2:$A$12, 0), MATCH(tblLabs[[#This Row],[Facility]], 'LAB PRICES'!$C$1:$F$1, 0))</f>
        <v>6</v>
      </c>
      <c r="L176">
        <f>_xlfn.XLOOKUP(
    tblLabs[[#This Row],[Code]],
    'LAB PRICES'!$A$2:$A$12,
    'LAB PRICES'!$G$2:$G$12
)</f>
        <v>27</v>
      </c>
    </row>
    <row r="177" spans="1:12" x14ac:dyDescent="0.25">
      <c r="A177" t="s">
        <v>1630</v>
      </c>
      <c r="B177" t="s">
        <v>1730</v>
      </c>
      <c r="C177">
        <v>12</v>
      </c>
      <c r="D177" t="s">
        <v>2573</v>
      </c>
      <c r="E177" t="s">
        <v>61</v>
      </c>
      <c r="F177" t="s">
        <v>1892</v>
      </c>
      <c r="G177" s="7">
        <v>45205</v>
      </c>
      <c r="H177" t="s">
        <v>465</v>
      </c>
      <c r="I177" t="s">
        <v>1808</v>
      </c>
      <c r="J177" t="s">
        <v>26</v>
      </c>
      <c r="K177">
        <f>INDEX('LAB PRICES'!$C$2:$F$12, MATCH(tblLabs[[#This Row],[Code]], 'LAB PRICES'!$A$2:$A$12, 0), MATCH(tblLabs[[#This Row],[Facility]], 'LAB PRICES'!$C$1:$F$1, 0))</f>
        <v>5</v>
      </c>
      <c r="L177">
        <f>_xlfn.XLOOKUP(
    tblLabs[[#This Row],[Code]],
    'LAB PRICES'!$A$2:$A$12,
    'LAB PRICES'!$G$2:$G$12
)</f>
        <v>23</v>
      </c>
    </row>
    <row r="178" spans="1:12" x14ac:dyDescent="0.25">
      <c r="A178" t="s">
        <v>1630</v>
      </c>
      <c r="B178" t="s">
        <v>1730</v>
      </c>
      <c r="C178">
        <v>6</v>
      </c>
      <c r="D178" t="s">
        <v>2586</v>
      </c>
      <c r="E178" t="s">
        <v>466</v>
      </c>
      <c r="F178" t="s">
        <v>1893</v>
      </c>
      <c r="G178" s="7">
        <v>45205</v>
      </c>
      <c r="H178" t="s">
        <v>465</v>
      </c>
      <c r="I178" t="s">
        <v>1808</v>
      </c>
      <c r="J178" t="s">
        <v>26</v>
      </c>
      <c r="K178">
        <f>INDEX('LAB PRICES'!$C$2:$F$12, MATCH(tblLabs[[#This Row],[Code]], 'LAB PRICES'!$A$2:$A$12, 0), MATCH(tblLabs[[#This Row],[Facility]], 'LAB PRICES'!$C$1:$F$1, 0))</f>
        <v>9.5</v>
      </c>
      <c r="L178">
        <f>_xlfn.XLOOKUP(
    tblLabs[[#This Row],[Code]],
    'LAB PRICES'!$A$2:$A$12,
    'LAB PRICES'!$G$2:$G$12
)</f>
        <v>40</v>
      </c>
    </row>
    <row r="179" spans="1:12" x14ac:dyDescent="0.25">
      <c r="A179" t="s">
        <v>1630</v>
      </c>
      <c r="B179" t="s">
        <v>1730</v>
      </c>
      <c r="C179">
        <v>6</v>
      </c>
      <c r="D179" t="s">
        <v>2597</v>
      </c>
      <c r="E179" t="s">
        <v>467</v>
      </c>
      <c r="F179" t="s">
        <v>1894</v>
      </c>
      <c r="G179" s="7">
        <v>45205</v>
      </c>
      <c r="H179" t="s">
        <v>465</v>
      </c>
      <c r="I179" t="s">
        <v>1808</v>
      </c>
      <c r="J179" t="s">
        <v>26</v>
      </c>
      <c r="K179">
        <f>INDEX('LAB PRICES'!$C$2:$F$12, MATCH(tblLabs[[#This Row],[Code]], 'LAB PRICES'!$A$2:$A$12, 0), MATCH(tblLabs[[#This Row],[Facility]], 'LAB PRICES'!$C$1:$F$1, 0))</f>
        <v>20</v>
      </c>
      <c r="L179">
        <f>_xlfn.XLOOKUP(
    tblLabs[[#This Row],[Code]],
    'LAB PRICES'!$A$2:$A$12,
    'LAB PRICES'!$G$2:$G$12
)</f>
        <v>70</v>
      </c>
    </row>
    <row r="180" spans="1:12" x14ac:dyDescent="0.25">
      <c r="A180" t="s">
        <v>1630</v>
      </c>
      <c r="B180" t="s">
        <v>1730</v>
      </c>
      <c r="C180">
        <v>18</v>
      </c>
      <c r="D180" t="s">
        <v>1809</v>
      </c>
      <c r="E180" t="s">
        <v>1806</v>
      </c>
      <c r="F180" t="s">
        <v>1890</v>
      </c>
      <c r="G180" s="7">
        <v>45458</v>
      </c>
      <c r="H180" t="s">
        <v>142</v>
      </c>
      <c r="I180" t="s">
        <v>1810</v>
      </c>
      <c r="J180" t="s">
        <v>8</v>
      </c>
      <c r="K180">
        <f>INDEX('LAB PRICES'!$C$2:$F$12, MATCH(tblLabs[[#This Row],[Code]], 'LAB PRICES'!$A$2:$A$12, 0), MATCH(tblLabs[[#This Row],[Facility]], 'LAB PRICES'!$C$1:$F$1, 0))</f>
        <v>6</v>
      </c>
      <c r="L180">
        <f>_xlfn.XLOOKUP(
    tblLabs[[#This Row],[Code]],
    'LAB PRICES'!$A$2:$A$12,
    'LAB PRICES'!$G$2:$G$12
)</f>
        <v>27</v>
      </c>
    </row>
    <row r="181" spans="1:12" x14ac:dyDescent="0.25">
      <c r="A181" t="s">
        <v>1630</v>
      </c>
      <c r="B181" t="s">
        <v>1730</v>
      </c>
      <c r="C181">
        <v>11</v>
      </c>
      <c r="D181" t="s">
        <v>1811</v>
      </c>
      <c r="E181" t="s">
        <v>1806</v>
      </c>
      <c r="F181" t="s">
        <v>1890</v>
      </c>
      <c r="G181" s="7">
        <v>45459</v>
      </c>
      <c r="H181" t="s">
        <v>142</v>
      </c>
      <c r="I181" t="s">
        <v>1810</v>
      </c>
      <c r="J181" t="s">
        <v>8</v>
      </c>
      <c r="K181">
        <f>INDEX('LAB PRICES'!$C$2:$F$12, MATCH(tblLabs[[#This Row],[Code]], 'LAB PRICES'!$A$2:$A$12, 0), MATCH(tblLabs[[#This Row],[Facility]], 'LAB PRICES'!$C$1:$F$1, 0))</f>
        <v>6</v>
      </c>
      <c r="L181">
        <f>_xlfn.XLOOKUP(
    tblLabs[[#This Row],[Code]],
    'LAB PRICES'!$A$2:$A$12,
    'LAB PRICES'!$G$2:$G$12
)</f>
        <v>27</v>
      </c>
    </row>
    <row r="182" spans="1:12" x14ac:dyDescent="0.25">
      <c r="A182" t="s">
        <v>1630</v>
      </c>
      <c r="B182" t="s">
        <v>1730</v>
      </c>
      <c r="C182">
        <v>9</v>
      </c>
      <c r="D182" t="s">
        <v>1812</v>
      </c>
      <c r="E182" t="s">
        <v>1806</v>
      </c>
      <c r="F182" t="s">
        <v>1890</v>
      </c>
      <c r="G182" s="7">
        <v>45514</v>
      </c>
      <c r="H182" t="s">
        <v>136</v>
      </c>
      <c r="I182" t="s">
        <v>1813</v>
      </c>
      <c r="J182" t="s">
        <v>8</v>
      </c>
      <c r="K182">
        <f>INDEX('LAB PRICES'!$C$2:$F$12, MATCH(tblLabs[[#This Row],[Code]], 'LAB PRICES'!$A$2:$A$12, 0), MATCH(tblLabs[[#This Row],[Facility]], 'LAB PRICES'!$C$1:$F$1, 0))</f>
        <v>6</v>
      </c>
      <c r="L182">
        <f>_xlfn.XLOOKUP(
    tblLabs[[#This Row],[Code]],
    'LAB PRICES'!$A$2:$A$12,
    'LAB PRICES'!$G$2:$G$12
)</f>
        <v>27</v>
      </c>
    </row>
    <row r="183" spans="1:12" x14ac:dyDescent="0.25">
      <c r="A183" t="s">
        <v>1630</v>
      </c>
      <c r="B183" t="s">
        <v>1730</v>
      </c>
      <c r="C183">
        <v>7</v>
      </c>
      <c r="D183" t="s">
        <v>1416</v>
      </c>
      <c r="E183" t="s">
        <v>1806</v>
      </c>
      <c r="F183" t="s">
        <v>1890</v>
      </c>
      <c r="G183" s="7">
        <v>45556</v>
      </c>
      <c r="H183" t="s">
        <v>118</v>
      </c>
      <c r="I183" t="s">
        <v>1814</v>
      </c>
      <c r="J183" t="s">
        <v>26</v>
      </c>
      <c r="K183">
        <f>INDEX('LAB PRICES'!$C$2:$F$12, MATCH(tblLabs[[#This Row],[Code]], 'LAB PRICES'!$A$2:$A$12, 0), MATCH(tblLabs[[#This Row],[Facility]], 'LAB PRICES'!$C$1:$F$1, 0))</f>
        <v>5</v>
      </c>
      <c r="L183">
        <f>_xlfn.XLOOKUP(
    tblLabs[[#This Row],[Code]],
    'LAB PRICES'!$A$2:$A$12,
    'LAB PRICES'!$G$2:$G$12
)</f>
        <v>27</v>
      </c>
    </row>
    <row r="184" spans="1:12" x14ac:dyDescent="0.25">
      <c r="A184" t="s">
        <v>1630</v>
      </c>
      <c r="B184" t="s">
        <v>1730</v>
      </c>
      <c r="C184">
        <v>10</v>
      </c>
      <c r="D184" t="s">
        <v>1503</v>
      </c>
      <c r="E184" t="s">
        <v>14</v>
      </c>
      <c r="F184" t="s">
        <v>1891</v>
      </c>
      <c r="G184" s="7">
        <v>45625</v>
      </c>
      <c r="H184" t="s">
        <v>118</v>
      </c>
      <c r="I184" t="s">
        <v>1815</v>
      </c>
      <c r="J184" t="s">
        <v>26</v>
      </c>
      <c r="K184">
        <f>INDEX('LAB PRICES'!$C$2:$F$12, MATCH(tblLabs[[#This Row],[Code]], 'LAB PRICES'!$A$2:$A$12, 0), MATCH(tblLabs[[#This Row],[Facility]], 'LAB PRICES'!$C$1:$F$1, 0))</f>
        <v>30</v>
      </c>
      <c r="L184">
        <f>_xlfn.XLOOKUP(
    tblLabs[[#This Row],[Code]],
    'LAB PRICES'!$A$2:$A$12,
    'LAB PRICES'!$G$2:$G$12
)</f>
        <v>100</v>
      </c>
    </row>
    <row r="185" spans="1:12" x14ac:dyDescent="0.25">
      <c r="A185" t="s">
        <v>1630</v>
      </c>
      <c r="B185" t="s">
        <v>1730</v>
      </c>
      <c r="C185">
        <v>16</v>
      </c>
      <c r="D185" t="s">
        <v>1510</v>
      </c>
      <c r="E185" t="s">
        <v>14</v>
      </c>
      <c r="F185" t="s">
        <v>1891</v>
      </c>
      <c r="G185" s="7">
        <v>45626</v>
      </c>
      <c r="H185" t="s">
        <v>118</v>
      </c>
      <c r="I185" t="s">
        <v>1815</v>
      </c>
      <c r="J185" t="s">
        <v>26</v>
      </c>
      <c r="K185">
        <f>INDEX('LAB PRICES'!$C$2:$F$12, MATCH(tblLabs[[#This Row],[Code]], 'LAB PRICES'!$A$2:$A$12, 0), MATCH(tblLabs[[#This Row],[Facility]], 'LAB PRICES'!$C$1:$F$1, 0))</f>
        <v>30</v>
      </c>
      <c r="L185">
        <f>_xlfn.XLOOKUP(
    tblLabs[[#This Row],[Code]],
    'LAB PRICES'!$A$2:$A$12,
    'LAB PRICES'!$G$2:$G$12
)</f>
        <v>100</v>
      </c>
    </row>
    <row r="186" spans="1:12" x14ac:dyDescent="0.25">
      <c r="A186" t="s">
        <v>1630</v>
      </c>
      <c r="B186" t="s">
        <v>1730</v>
      </c>
      <c r="C186">
        <v>6</v>
      </c>
      <c r="D186" t="s">
        <v>1816</v>
      </c>
      <c r="E186" t="s">
        <v>1878</v>
      </c>
      <c r="F186" t="s">
        <v>1889</v>
      </c>
      <c r="G186" s="7">
        <v>45684</v>
      </c>
      <c r="H186" t="s">
        <v>142</v>
      </c>
      <c r="I186" t="s">
        <v>1817</v>
      </c>
      <c r="J186" t="s">
        <v>8</v>
      </c>
      <c r="K186">
        <f>INDEX('LAB PRICES'!$C$2:$F$12, MATCH(tblLabs[[#This Row],[Code]], 'LAB PRICES'!$A$2:$A$12, 0), MATCH(tblLabs[[#This Row],[Facility]], 'LAB PRICES'!$C$1:$F$1, 0))</f>
        <v>6</v>
      </c>
      <c r="L186">
        <f>_xlfn.XLOOKUP(
    tblLabs[[#This Row],[Code]],
    'LAB PRICES'!$A$2:$A$12,
    'LAB PRICES'!$G$2:$G$12
)</f>
        <v>23</v>
      </c>
    </row>
    <row r="187" spans="1:12" x14ac:dyDescent="0.25">
      <c r="A187" t="s">
        <v>1630</v>
      </c>
      <c r="B187" t="s">
        <v>1730</v>
      </c>
      <c r="C187">
        <v>18</v>
      </c>
      <c r="D187" t="s">
        <v>1818</v>
      </c>
      <c r="E187" t="s">
        <v>1806</v>
      </c>
      <c r="F187" t="s">
        <v>1890</v>
      </c>
      <c r="G187" s="7">
        <v>45685</v>
      </c>
      <c r="H187" t="s">
        <v>142</v>
      </c>
      <c r="I187" t="s">
        <v>1819</v>
      </c>
      <c r="J187" t="s">
        <v>8</v>
      </c>
      <c r="K187">
        <f>INDEX('LAB PRICES'!$C$2:$F$12, MATCH(tblLabs[[#This Row],[Code]], 'LAB PRICES'!$A$2:$A$12, 0), MATCH(tblLabs[[#This Row],[Facility]], 'LAB PRICES'!$C$1:$F$1, 0))</f>
        <v>6</v>
      </c>
      <c r="L187">
        <f>_xlfn.XLOOKUP(
    tblLabs[[#This Row],[Code]],
    'LAB PRICES'!$A$2:$A$12,
    'LAB PRICES'!$G$2:$G$12
)</f>
        <v>27</v>
      </c>
    </row>
    <row r="188" spans="1:12" x14ac:dyDescent="0.25">
      <c r="A188" t="s">
        <v>1630</v>
      </c>
      <c r="B188" t="s">
        <v>1730</v>
      </c>
      <c r="C188">
        <v>9</v>
      </c>
      <c r="D188" t="s">
        <v>1820</v>
      </c>
      <c r="E188" t="s">
        <v>1806</v>
      </c>
      <c r="F188" t="s">
        <v>1890</v>
      </c>
      <c r="G188" s="7">
        <v>45686</v>
      </c>
      <c r="H188" t="s">
        <v>71</v>
      </c>
      <c r="I188" t="s">
        <v>1821</v>
      </c>
      <c r="J188" t="s">
        <v>8</v>
      </c>
      <c r="K188">
        <f>INDEX('LAB PRICES'!$C$2:$F$12, MATCH(tblLabs[[#This Row],[Code]], 'LAB PRICES'!$A$2:$A$12, 0), MATCH(tblLabs[[#This Row],[Facility]], 'LAB PRICES'!$C$1:$F$1, 0))</f>
        <v>6</v>
      </c>
      <c r="L188">
        <f>_xlfn.XLOOKUP(
    tblLabs[[#This Row],[Code]],
    'LAB PRICES'!$A$2:$A$12,
    'LAB PRICES'!$G$2:$G$12
)</f>
        <v>27</v>
      </c>
    </row>
    <row r="189" spans="1:12" x14ac:dyDescent="0.25">
      <c r="A189" t="s">
        <v>1630</v>
      </c>
      <c r="B189" t="s">
        <v>1730</v>
      </c>
      <c r="C189">
        <v>9</v>
      </c>
      <c r="D189" t="s">
        <v>1822</v>
      </c>
      <c r="E189" t="s">
        <v>1806</v>
      </c>
      <c r="F189" t="s">
        <v>1890</v>
      </c>
      <c r="G189" s="7">
        <v>45687</v>
      </c>
      <c r="H189" t="s">
        <v>71</v>
      </c>
      <c r="I189" t="s">
        <v>1823</v>
      </c>
      <c r="J189" t="s">
        <v>8</v>
      </c>
      <c r="K189">
        <f>INDEX('LAB PRICES'!$C$2:$F$12, MATCH(tblLabs[[#This Row],[Code]], 'LAB PRICES'!$A$2:$A$12, 0), MATCH(tblLabs[[#This Row],[Facility]], 'LAB PRICES'!$C$1:$F$1, 0))</f>
        <v>6</v>
      </c>
      <c r="L189">
        <f>_xlfn.XLOOKUP(
    tblLabs[[#This Row],[Code]],
    'LAB PRICES'!$A$2:$A$12,
    'LAB PRICES'!$G$2:$G$12
)</f>
        <v>27</v>
      </c>
    </row>
    <row r="190" spans="1:12" x14ac:dyDescent="0.25">
      <c r="A190" t="s">
        <v>1630</v>
      </c>
      <c r="B190" t="s">
        <v>1730</v>
      </c>
      <c r="C190">
        <v>9</v>
      </c>
      <c r="D190" t="s">
        <v>1824</v>
      </c>
      <c r="E190" t="s">
        <v>1806</v>
      </c>
      <c r="F190" t="s">
        <v>1890</v>
      </c>
      <c r="G190" s="7">
        <v>45691</v>
      </c>
      <c r="H190" t="s">
        <v>71</v>
      </c>
      <c r="I190" t="s">
        <v>1825</v>
      </c>
      <c r="J190" t="s">
        <v>8</v>
      </c>
      <c r="K190">
        <f>INDEX('LAB PRICES'!$C$2:$F$12, MATCH(tblLabs[[#This Row],[Code]], 'LAB PRICES'!$A$2:$A$12, 0), MATCH(tblLabs[[#This Row],[Facility]], 'LAB PRICES'!$C$1:$F$1, 0))</f>
        <v>6</v>
      </c>
      <c r="L190">
        <f>_xlfn.XLOOKUP(
    tblLabs[[#This Row],[Code]],
    'LAB PRICES'!$A$2:$A$12,
    'LAB PRICES'!$G$2:$G$12
)</f>
        <v>27</v>
      </c>
    </row>
    <row r="191" spans="1:12" x14ac:dyDescent="0.25">
      <c r="A191" t="s">
        <v>1630</v>
      </c>
      <c r="B191" t="s">
        <v>1730</v>
      </c>
      <c r="C191">
        <v>9</v>
      </c>
      <c r="D191" t="s">
        <v>1826</v>
      </c>
      <c r="E191" t="s">
        <v>1806</v>
      </c>
      <c r="F191" t="s">
        <v>1890</v>
      </c>
      <c r="G191" s="7">
        <v>45701</v>
      </c>
      <c r="H191" t="s">
        <v>71</v>
      </c>
      <c r="I191" t="s">
        <v>1827</v>
      </c>
      <c r="J191" t="s">
        <v>8</v>
      </c>
      <c r="K191">
        <f>INDEX('LAB PRICES'!$C$2:$F$12, MATCH(tblLabs[[#This Row],[Code]], 'LAB PRICES'!$A$2:$A$12, 0), MATCH(tblLabs[[#This Row],[Facility]], 'LAB PRICES'!$C$1:$F$1, 0))</f>
        <v>6</v>
      </c>
      <c r="L191">
        <f>_xlfn.XLOOKUP(
    tblLabs[[#This Row],[Code]],
    'LAB PRICES'!$A$2:$A$12,
    'LAB PRICES'!$G$2:$G$12
)</f>
        <v>27</v>
      </c>
    </row>
    <row r="192" spans="1:12" x14ac:dyDescent="0.25">
      <c r="A192" t="s">
        <v>1630</v>
      </c>
      <c r="B192" t="s">
        <v>1730</v>
      </c>
      <c r="C192">
        <v>9</v>
      </c>
      <c r="D192" t="s">
        <v>1828</v>
      </c>
      <c r="E192" t="s">
        <v>1806</v>
      </c>
      <c r="F192" t="s">
        <v>1890</v>
      </c>
      <c r="G192" s="7">
        <v>45702</v>
      </c>
      <c r="H192" t="s">
        <v>71</v>
      </c>
      <c r="I192" t="s">
        <v>1827</v>
      </c>
      <c r="J192" t="s">
        <v>8</v>
      </c>
      <c r="K192">
        <f>INDEX('LAB PRICES'!$C$2:$F$12, MATCH(tblLabs[[#This Row],[Code]], 'LAB PRICES'!$A$2:$A$12, 0), MATCH(tblLabs[[#This Row],[Facility]], 'LAB PRICES'!$C$1:$F$1, 0))</f>
        <v>6</v>
      </c>
      <c r="L192">
        <f>_xlfn.XLOOKUP(
    tblLabs[[#This Row],[Code]],
    'LAB PRICES'!$A$2:$A$12,
    'LAB PRICES'!$G$2:$G$12
)</f>
        <v>27</v>
      </c>
    </row>
    <row r="193" spans="1:12" x14ac:dyDescent="0.25">
      <c r="A193" t="s">
        <v>1630</v>
      </c>
      <c r="B193" t="s">
        <v>1730</v>
      </c>
      <c r="C193">
        <v>9</v>
      </c>
      <c r="D193" t="s">
        <v>1829</v>
      </c>
      <c r="E193" t="s">
        <v>1806</v>
      </c>
      <c r="F193" t="s">
        <v>1890</v>
      </c>
      <c r="G193" s="7">
        <v>45712</v>
      </c>
      <c r="H193" t="s">
        <v>71</v>
      </c>
      <c r="I193" t="s">
        <v>1830</v>
      </c>
      <c r="J193" t="s">
        <v>8</v>
      </c>
      <c r="K193">
        <f>INDEX('LAB PRICES'!$C$2:$F$12, MATCH(tblLabs[[#This Row],[Code]], 'LAB PRICES'!$A$2:$A$12, 0), MATCH(tblLabs[[#This Row],[Facility]], 'LAB PRICES'!$C$1:$F$1, 0))</f>
        <v>6</v>
      </c>
      <c r="L193">
        <f>_xlfn.XLOOKUP(
    tblLabs[[#This Row],[Code]],
    'LAB PRICES'!$A$2:$A$12,
    'LAB PRICES'!$G$2:$G$12
)</f>
        <v>27</v>
      </c>
    </row>
    <row r="194" spans="1:12" x14ac:dyDescent="0.25">
      <c r="A194" t="s">
        <v>1630</v>
      </c>
      <c r="B194" t="s">
        <v>1730</v>
      </c>
      <c r="C194">
        <v>9</v>
      </c>
      <c r="D194" t="s">
        <v>1831</v>
      </c>
      <c r="E194" t="s">
        <v>1806</v>
      </c>
      <c r="F194" t="s">
        <v>1890</v>
      </c>
      <c r="G194" s="7">
        <v>45713</v>
      </c>
      <c r="H194" t="s">
        <v>71</v>
      </c>
      <c r="I194" t="s">
        <v>1832</v>
      </c>
      <c r="J194" t="s">
        <v>8</v>
      </c>
      <c r="K194">
        <f>INDEX('LAB PRICES'!$C$2:$F$12, MATCH(tblLabs[[#This Row],[Code]], 'LAB PRICES'!$A$2:$A$12, 0), MATCH(tblLabs[[#This Row],[Facility]], 'LAB PRICES'!$C$1:$F$1, 0))</f>
        <v>6</v>
      </c>
      <c r="L194">
        <f>_xlfn.XLOOKUP(
    tblLabs[[#This Row],[Code]],
    'LAB PRICES'!$A$2:$A$12,
    'LAB PRICES'!$G$2:$G$12
)</f>
        <v>27</v>
      </c>
    </row>
    <row r="195" spans="1:12" x14ac:dyDescent="0.25">
      <c r="A195" t="s">
        <v>1630</v>
      </c>
      <c r="B195" t="s">
        <v>1730</v>
      </c>
      <c r="C195">
        <v>9</v>
      </c>
      <c r="D195" t="s">
        <v>1833</v>
      </c>
      <c r="E195" t="s">
        <v>1806</v>
      </c>
      <c r="F195" t="s">
        <v>1890</v>
      </c>
      <c r="G195" s="7">
        <v>45715</v>
      </c>
      <c r="H195" t="s">
        <v>71</v>
      </c>
      <c r="I195" t="s">
        <v>1834</v>
      </c>
      <c r="J195" t="s">
        <v>8</v>
      </c>
      <c r="K195">
        <f>INDEX('LAB PRICES'!$C$2:$F$12, MATCH(tblLabs[[#This Row],[Code]], 'LAB PRICES'!$A$2:$A$12, 0), MATCH(tblLabs[[#This Row],[Facility]], 'LAB PRICES'!$C$1:$F$1, 0))</f>
        <v>6</v>
      </c>
      <c r="L195">
        <f>_xlfn.XLOOKUP(
    tblLabs[[#This Row],[Code]],
    'LAB PRICES'!$A$2:$A$12,
    'LAB PRICES'!$G$2:$G$12
)</f>
        <v>27</v>
      </c>
    </row>
    <row r="196" spans="1:12" x14ac:dyDescent="0.25">
      <c r="A196" t="s">
        <v>1630</v>
      </c>
      <c r="B196" t="s">
        <v>1730</v>
      </c>
      <c r="C196">
        <v>9</v>
      </c>
      <c r="D196" t="s">
        <v>1835</v>
      </c>
      <c r="E196" t="s">
        <v>1806</v>
      </c>
      <c r="F196" t="s">
        <v>1890</v>
      </c>
      <c r="G196" s="7">
        <v>45719</v>
      </c>
      <c r="H196" t="s">
        <v>71</v>
      </c>
      <c r="I196" t="s">
        <v>1836</v>
      </c>
      <c r="J196" t="s">
        <v>8</v>
      </c>
      <c r="K196">
        <f>INDEX('LAB PRICES'!$C$2:$F$12, MATCH(tblLabs[[#This Row],[Code]], 'LAB PRICES'!$A$2:$A$12, 0), MATCH(tblLabs[[#This Row],[Facility]], 'LAB PRICES'!$C$1:$F$1, 0))</f>
        <v>6</v>
      </c>
      <c r="L196">
        <f>_xlfn.XLOOKUP(
    tblLabs[[#This Row],[Code]],
    'LAB PRICES'!$A$2:$A$12,
    'LAB PRICES'!$G$2:$G$12
)</f>
        <v>27</v>
      </c>
    </row>
    <row r="197" spans="1:12" x14ac:dyDescent="0.25">
      <c r="A197" t="s">
        <v>1630</v>
      </c>
      <c r="B197" t="s">
        <v>1730</v>
      </c>
      <c r="C197">
        <v>9</v>
      </c>
      <c r="D197" t="s">
        <v>1629</v>
      </c>
      <c r="E197" t="s">
        <v>1806</v>
      </c>
      <c r="F197" t="s">
        <v>1890</v>
      </c>
      <c r="G197" s="7">
        <v>45726</v>
      </c>
      <c r="H197" t="s">
        <v>118</v>
      </c>
      <c r="I197" t="s">
        <v>1843</v>
      </c>
      <c r="J197" t="s">
        <v>26</v>
      </c>
      <c r="K197">
        <f>INDEX('LAB PRICES'!$C$2:$F$12, MATCH(tblLabs[[#This Row],[Code]], 'LAB PRICES'!$A$2:$A$12, 0), MATCH(tblLabs[[#This Row],[Facility]], 'LAB PRICES'!$C$1:$F$1, 0))</f>
        <v>5</v>
      </c>
      <c r="L197">
        <f>_xlfn.XLOOKUP(
    tblLabs[[#This Row],[Code]],
    'LAB PRICES'!$A$2:$A$12,
    'LAB PRICES'!$G$2:$G$12
)</f>
        <v>27</v>
      </c>
    </row>
    <row r="198" spans="1:12" x14ac:dyDescent="0.25">
      <c r="A198" t="s">
        <v>1630</v>
      </c>
      <c r="B198" t="s">
        <v>1730</v>
      </c>
      <c r="C198">
        <v>9</v>
      </c>
      <c r="D198" t="s">
        <v>1631</v>
      </c>
      <c r="E198" t="s">
        <v>1806</v>
      </c>
      <c r="F198" t="s">
        <v>1890</v>
      </c>
      <c r="G198" s="7">
        <v>45727</v>
      </c>
      <c r="H198" t="s">
        <v>118</v>
      </c>
      <c r="I198" t="s">
        <v>1844</v>
      </c>
      <c r="J198" t="s">
        <v>26</v>
      </c>
      <c r="K198">
        <f>INDEX('LAB PRICES'!$C$2:$F$12, MATCH(tblLabs[[#This Row],[Code]], 'LAB PRICES'!$A$2:$A$12, 0), MATCH(tblLabs[[#This Row],[Facility]], 'LAB PRICES'!$C$1:$F$1, 0))</f>
        <v>5</v>
      </c>
      <c r="L198">
        <f>_xlfn.XLOOKUP(
    tblLabs[[#This Row],[Code]],
    'LAB PRICES'!$A$2:$A$12,
    'LAB PRICES'!$G$2:$G$12
)</f>
        <v>27</v>
      </c>
    </row>
    <row r="199" spans="1:12" x14ac:dyDescent="0.25">
      <c r="A199" t="s">
        <v>1630</v>
      </c>
      <c r="B199" t="s">
        <v>1730</v>
      </c>
      <c r="C199">
        <v>9</v>
      </c>
      <c r="D199" t="s">
        <v>1837</v>
      </c>
      <c r="E199" t="s">
        <v>1806</v>
      </c>
      <c r="F199" t="s">
        <v>1890</v>
      </c>
      <c r="G199" s="7">
        <v>45720</v>
      </c>
      <c r="H199" t="s">
        <v>71</v>
      </c>
      <c r="I199" t="s">
        <v>1838</v>
      </c>
      <c r="J199" t="s">
        <v>26</v>
      </c>
      <c r="K199">
        <f>INDEX('LAB PRICES'!$C$2:$F$12, MATCH(tblLabs[[#This Row],[Code]], 'LAB PRICES'!$A$2:$A$12, 0), MATCH(tblLabs[[#This Row],[Facility]], 'LAB PRICES'!$C$1:$F$1, 0))</f>
        <v>5</v>
      </c>
      <c r="L199">
        <f>_xlfn.XLOOKUP(
    tblLabs[[#This Row],[Code]],
    'LAB PRICES'!$A$2:$A$12,
    'LAB PRICES'!$G$2:$G$12
)</f>
        <v>27</v>
      </c>
    </row>
    <row r="200" spans="1:12" x14ac:dyDescent="0.25">
      <c r="A200" t="s">
        <v>1630</v>
      </c>
      <c r="B200" t="s">
        <v>1730</v>
      </c>
      <c r="C200">
        <v>9</v>
      </c>
      <c r="D200" t="s">
        <v>1632</v>
      </c>
      <c r="E200" t="s">
        <v>1806</v>
      </c>
      <c r="F200" t="s">
        <v>1890</v>
      </c>
      <c r="G200" s="7">
        <v>45728</v>
      </c>
      <c r="H200" t="s">
        <v>118</v>
      </c>
      <c r="I200" t="s">
        <v>1845</v>
      </c>
      <c r="J200" t="s">
        <v>26</v>
      </c>
      <c r="K200">
        <f>INDEX('LAB PRICES'!$C$2:$F$12, MATCH(tblLabs[[#This Row],[Code]], 'LAB PRICES'!$A$2:$A$12, 0), MATCH(tblLabs[[#This Row],[Facility]], 'LAB PRICES'!$C$1:$F$1, 0))</f>
        <v>5</v>
      </c>
      <c r="L200">
        <f>_xlfn.XLOOKUP(
    tblLabs[[#This Row],[Code]],
    'LAB PRICES'!$A$2:$A$12,
    'LAB PRICES'!$G$2:$G$12
)</f>
        <v>27</v>
      </c>
    </row>
    <row r="201" spans="1:12" x14ac:dyDescent="0.25">
      <c r="A201" t="s">
        <v>1630</v>
      </c>
      <c r="B201" t="s">
        <v>1730</v>
      </c>
      <c r="C201">
        <v>9</v>
      </c>
      <c r="D201" t="s">
        <v>1633</v>
      </c>
      <c r="E201" t="s">
        <v>1806</v>
      </c>
      <c r="F201" t="s">
        <v>1890</v>
      </c>
      <c r="G201" s="7">
        <v>45729</v>
      </c>
      <c r="H201" t="s">
        <v>118</v>
      </c>
      <c r="I201" t="s">
        <v>1846</v>
      </c>
      <c r="J201" t="s">
        <v>26</v>
      </c>
      <c r="K201">
        <f>INDEX('LAB PRICES'!$C$2:$F$12, MATCH(tblLabs[[#This Row],[Code]], 'LAB PRICES'!$A$2:$A$12, 0), MATCH(tblLabs[[#This Row],[Facility]], 'LAB PRICES'!$C$1:$F$1, 0))</f>
        <v>5</v>
      </c>
      <c r="L201">
        <f>_xlfn.XLOOKUP(
    tblLabs[[#This Row],[Code]],
    'LAB PRICES'!$A$2:$A$12,
    'LAB PRICES'!$G$2:$G$12
)</f>
        <v>27</v>
      </c>
    </row>
    <row r="202" spans="1:12" x14ac:dyDescent="0.25">
      <c r="A202" t="s">
        <v>1630</v>
      </c>
      <c r="B202" t="s">
        <v>1730</v>
      </c>
      <c r="C202">
        <v>9</v>
      </c>
      <c r="D202" t="s">
        <v>1839</v>
      </c>
      <c r="E202" t="s">
        <v>1806</v>
      </c>
      <c r="F202" t="s">
        <v>1890</v>
      </c>
      <c r="G202" s="7">
        <v>45722</v>
      </c>
      <c r="H202" t="s">
        <v>71</v>
      </c>
      <c r="I202" t="s">
        <v>1840</v>
      </c>
      <c r="J202" t="s">
        <v>8</v>
      </c>
      <c r="K202">
        <f>INDEX('LAB PRICES'!$C$2:$F$12, MATCH(tblLabs[[#This Row],[Code]], 'LAB PRICES'!$A$2:$A$12, 0), MATCH(tblLabs[[#This Row],[Facility]], 'LAB PRICES'!$C$1:$F$1, 0))</f>
        <v>6</v>
      </c>
      <c r="L202">
        <f>_xlfn.XLOOKUP(
    tblLabs[[#This Row],[Code]],
    'LAB PRICES'!$A$2:$A$12,
    'LAB PRICES'!$G$2:$G$12
)</f>
        <v>27</v>
      </c>
    </row>
    <row r="203" spans="1:12" x14ac:dyDescent="0.25">
      <c r="A203" t="s">
        <v>1630</v>
      </c>
      <c r="B203" t="s">
        <v>1730</v>
      </c>
      <c r="C203">
        <v>10</v>
      </c>
      <c r="D203" t="s">
        <v>1841</v>
      </c>
      <c r="E203" t="s">
        <v>1806</v>
      </c>
      <c r="F203" t="s">
        <v>1890</v>
      </c>
      <c r="G203" s="7">
        <v>45723</v>
      </c>
      <c r="H203" t="s">
        <v>71</v>
      </c>
      <c r="I203" t="s">
        <v>1842</v>
      </c>
      <c r="J203" t="s">
        <v>8</v>
      </c>
      <c r="K203">
        <f>INDEX('LAB PRICES'!$C$2:$F$12, MATCH(tblLabs[[#This Row],[Code]], 'LAB PRICES'!$A$2:$A$12, 0), MATCH(tblLabs[[#This Row],[Facility]], 'LAB PRICES'!$C$1:$F$1, 0))</f>
        <v>6</v>
      </c>
      <c r="L203">
        <f>_xlfn.XLOOKUP(
    tblLabs[[#This Row],[Code]],
    'LAB PRICES'!$A$2:$A$12,
    'LAB PRICES'!$G$2:$G$12
)</f>
        <v>27</v>
      </c>
    </row>
    <row r="204" spans="1:12" x14ac:dyDescent="0.25">
      <c r="A204" t="s">
        <v>1630</v>
      </c>
      <c r="B204" t="s">
        <v>1730</v>
      </c>
      <c r="C204">
        <v>9</v>
      </c>
      <c r="D204" t="s">
        <v>1847</v>
      </c>
      <c r="E204" t="s">
        <v>1806</v>
      </c>
      <c r="F204" t="s">
        <v>1890</v>
      </c>
      <c r="G204" s="7">
        <v>45733</v>
      </c>
      <c r="H204" t="s">
        <v>71</v>
      </c>
      <c r="I204" t="s">
        <v>1848</v>
      </c>
      <c r="J204" t="s">
        <v>8</v>
      </c>
      <c r="K204">
        <f>INDEX('LAB PRICES'!$C$2:$F$12, MATCH(tblLabs[[#This Row],[Code]], 'LAB PRICES'!$A$2:$A$12, 0), MATCH(tblLabs[[#This Row],[Facility]], 'LAB PRICES'!$C$1:$F$1, 0))</f>
        <v>6</v>
      </c>
      <c r="L204">
        <f>_xlfn.XLOOKUP(
    tblLabs[[#This Row],[Code]],
    'LAB PRICES'!$A$2:$A$12,
    'LAB PRICES'!$G$2:$G$12
)</f>
        <v>27</v>
      </c>
    </row>
    <row r="205" spans="1:12" x14ac:dyDescent="0.25">
      <c r="A205" t="s">
        <v>1630</v>
      </c>
      <c r="B205" t="s">
        <v>1730</v>
      </c>
      <c r="C205">
        <v>9</v>
      </c>
      <c r="D205" t="s">
        <v>1849</v>
      </c>
      <c r="E205" t="s">
        <v>1806</v>
      </c>
      <c r="F205" t="s">
        <v>1890</v>
      </c>
      <c r="G205" s="7">
        <v>45734</v>
      </c>
      <c r="H205" t="s">
        <v>71</v>
      </c>
      <c r="I205" t="s">
        <v>1850</v>
      </c>
      <c r="J205" t="s">
        <v>8</v>
      </c>
      <c r="K205">
        <f>INDEX('LAB PRICES'!$C$2:$F$12, MATCH(tblLabs[[#This Row],[Code]], 'LAB PRICES'!$A$2:$A$12, 0), MATCH(tblLabs[[#This Row],[Facility]], 'LAB PRICES'!$C$1:$F$1, 0))</f>
        <v>6</v>
      </c>
      <c r="L205">
        <f>_xlfn.XLOOKUP(
    tblLabs[[#This Row],[Code]],
    'LAB PRICES'!$A$2:$A$12,
    'LAB PRICES'!$G$2:$G$12
)</f>
        <v>27</v>
      </c>
    </row>
    <row r="206" spans="1:12" x14ac:dyDescent="0.25">
      <c r="A206" t="s">
        <v>1630</v>
      </c>
      <c r="B206" t="s">
        <v>1730</v>
      </c>
      <c r="C206">
        <v>12</v>
      </c>
      <c r="D206" t="s">
        <v>1802</v>
      </c>
      <c r="E206" t="s">
        <v>237</v>
      </c>
      <c r="F206" t="s">
        <v>1890</v>
      </c>
      <c r="G206" s="7">
        <v>45773</v>
      </c>
      <c r="H206" t="s">
        <v>11</v>
      </c>
      <c r="I206" t="s">
        <v>1853</v>
      </c>
      <c r="J206" t="s">
        <v>8</v>
      </c>
      <c r="K206">
        <f>INDEX('LAB PRICES'!$C$2:$F$12, MATCH(tblLabs[[#This Row],[Code]], 'LAB PRICES'!$A$2:$A$12, 0), MATCH(tblLabs[[#This Row],[Facility]], 'LAB PRICES'!$C$1:$F$1, 0))</f>
        <v>6</v>
      </c>
      <c r="L206">
        <f>_xlfn.XLOOKUP(
    tblLabs[[#This Row],[Code]],
    'LAB PRICES'!$A$2:$A$12,
    'LAB PRICES'!$G$2:$G$12
)</f>
        <v>27</v>
      </c>
    </row>
    <row r="207" spans="1:12" x14ac:dyDescent="0.25">
      <c r="A207" t="s">
        <v>1630</v>
      </c>
      <c r="B207" t="s">
        <v>1730</v>
      </c>
      <c r="C207">
        <v>5</v>
      </c>
      <c r="D207" t="s">
        <v>1854</v>
      </c>
      <c r="E207" t="s">
        <v>14</v>
      </c>
      <c r="F207" t="s">
        <v>1891</v>
      </c>
      <c r="G207" s="7">
        <v>45773</v>
      </c>
      <c r="H207" t="s">
        <v>118</v>
      </c>
      <c r="I207" t="s">
        <v>1852</v>
      </c>
      <c r="J207" t="s">
        <v>8</v>
      </c>
      <c r="K207">
        <f>INDEX('LAB PRICES'!$C$2:$F$12, MATCH(tblLabs[[#This Row],[Code]], 'LAB PRICES'!$A$2:$A$12, 0), MATCH(tblLabs[[#This Row],[Facility]], 'LAB PRICES'!$C$1:$F$1, 0))</f>
        <v>40</v>
      </c>
      <c r="L207">
        <f>_xlfn.XLOOKUP(
    tblLabs[[#This Row],[Code]],
    'LAB PRICES'!$A$2:$A$12,
    'LAB PRICES'!$G$2:$G$12
)</f>
        <v>100</v>
      </c>
    </row>
    <row r="208" spans="1:12" x14ac:dyDescent="0.25">
      <c r="A208" t="s">
        <v>1630</v>
      </c>
      <c r="B208" t="s">
        <v>1730</v>
      </c>
      <c r="C208">
        <v>5</v>
      </c>
      <c r="D208" t="s">
        <v>1855</v>
      </c>
      <c r="E208" t="s">
        <v>14</v>
      </c>
      <c r="F208" t="s">
        <v>1891</v>
      </c>
      <c r="G208" s="7">
        <v>45773</v>
      </c>
      <c r="H208" t="s">
        <v>11</v>
      </c>
      <c r="I208" t="s">
        <v>1853</v>
      </c>
      <c r="J208" t="s">
        <v>8</v>
      </c>
      <c r="K208">
        <f>INDEX('LAB PRICES'!$C$2:$F$12, MATCH(tblLabs[[#This Row],[Code]], 'LAB PRICES'!$A$2:$A$12, 0), MATCH(tblLabs[[#This Row],[Facility]], 'LAB PRICES'!$C$1:$F$1, 0))</f>
        <v>40</v>
      </c>
      <c r="L208">
        <f>_xlfn.XLOOKUP(
    tblLabs[[#This Row],[Code]],
    'LAB PRICES'!$A$2:$A$12,
    'LAB PRICES'!$G$2:$G$12
)</f>
        <v>100</v>
      </c>
    </row>
    <row r="209" spans="1:12" x14ac:dyDescent="0.25">
      <c r="A209" t="s">
        <v>1630</v>
      </c>
      <c r="B209" t="s">
        <v>1730</v>
      </c>
      <c r="C209">
        <v>12</v>
      </c>
      <c r="D209" t="s">
        <v>1856</v>
      </c>
      <c r="E209" t="s">
        <v>237</v>
      </c>
      <c r="F209" t="s">
        <v>1890</v>
      </c>
      <c r="G209" s="7">
        <v>45773</v>
      </c>
      <c r="H209" t="s">
        <v>118</v>
      </c>
      <c r="I209" t="s">
        <v>1852</v>
      </c>
      <c r="J209" t="s">
        <v>8</v>
      </c>
      <c r="K209">
        <f>INDEX('LAB PRICES'!$C$2:$F$12, MATCH(tblLabs[[#This Row],[Code]], 'LAB PRICES'!$A$2:$A$12, 0), MATCH(tblLabs[[#This Row],[Facility]], 'LAB PRICES'!$C$1:$F$1, 0))</f>
        <v>6</v>
      </c>
      <c r="L209">
        <f>_xlfn.XLOOKUP(
    tblLabs[[#This Row],[Code]],
    'LAB PRICES'!$A$2:$A$12,
    'LAB PRICES'!$G$2:$G$12
)</f>
        <v>27</v>
      </c>
    </row>
    <row r="210" spans="1:12" x14ac:dyDescent="0.25">
      <c r="A210" t="s">
        <v>1630</v>
      </c>
      <c r="B210" t="s">
        <v>1730</v>
      </c>
      <c r="C210">
        <v>6</v>
      </c>
      <c r="D210" t="s">
        <v>1798</v>
      </c>
      <c r="E210" t="s">
        <v>1878</v>
      </c>
      <c r="F210" t="s">
        <v>1889</v>
      </c>
      <c r="G210" s="7">
        <v>45772</v>
      </c>
      <c r="H210" t="s">
        <v>118</v>
      </c>
      <c r="I210" t="s">
        <v>1852</v>
      </c>
      <c r="J210" t="s">
        <v>8</v>
      </c>
      <c r="K210">
        <f>INDEX('LAB PRICES'!$C$2:$F$12, MATCH(tblLabs[[#This Row],[Code]], 'LAB PRICES'!$A$2:$A$12, 0), MATCH(tblLabs[[#This Row],[Facility]], 'LAB PRICES'!$C$1:$F$1, 0))</f>
        <v>6</v>
      </c>
      <c r="L210">
        <f>_xlfn.XLOOKUP(
    tblLabs[[#This Row],[Code]],
    'LAB PRICES'!$A$2:$A$12,
    'LAB PRICES'!$G$2:$G$12
)</f>
        <v>23</v>
      </c>
    </row>
    <row r="211" spans="1:12" x14ac:dyDescent="0.25">
      <c r="A211" t="s">
        <v>1630</v>
      </c>
      <c r="B211" t="s">
        <v>1730</v>
      </c>
      <c r="C211">
        <v>14</v>
      </c>
      <c r="D211" t="s">
        <v>1797</v>
      </c>
      <c r="E211" t="s">
        <v>1878</v>
      </c>
      <c r="F211" t="s">
        <v>1889</v>
      </c>
      <c r="G211" s="7">
        <v>45771</v>
      </c>
      <c r="H211" t="s">
        <v>118</v>
      </c>
      <c r="I211" t="s">
        <v>1851</v>
      </c>
      <c r="J211" t="s">
        <v>8</v>
      </c>
      <c r="K211">
        <f>INDEX('LAB PRICES'!$C$2:$F$12, MATCH(tblLabs[[#This Row],[Code]], 'LAB PRICES'!$A$2:$A$12, 0), MATCH(tblLabs[[#This Row],[Facility]], 'LAB PRICES'!$C$1:$F$1, 0))</f>
        <v>6</v>
      </c>
      <c r="L211">
        <f>_xlfn.XLOOKUP(
    tblLabs[[#This Row],[Code]],
    'LAB PRICES'!$A$2:$A$12,
    'LAB PRICES'!$G$2:$G$12
)</f>
        <v>23</v>
      </c>
    </row>
    <row r="212" spans="1:12" x14ac:dyDescent="0.25">
      <c r="A212" t="s">
        <v>1630</v>
      </c>
      <c r="B212" t="s">
        <v>1730</v>
      </c>
      <c r="C212">
        <v>8</v>
      </c>
      <c r="D212" t="s">
        <v>1799</v>
      </c>
      <c r="E212" t="s">
        <v>1878</v>
      </c>
      <c r="F212" t="s">
        <v>1889</v>
      </c>
      <c r="G212" s="7">
        <v>45772</v>
      </c>
      <c r="H212" t="s">
        <v>118</v>
      </c>
      <c r="I212" t="s">
        <v>1852</v>
      </c>
      <c r="J212" t="s">
        <v>8</v>
      </c>
      <c r="K212">
        <f>INDEX('LAB PRICES'!$C$2:$F$12, MATCH(tblLabs[[#This Row],[Code]], 'LAB PRICES'!$A$2:$A$12, 0), MATCH(tblLabs[[#This Row],[Facility]], 'LAB PRICES'!$C$1:$F$1, 0))</f>
        <v>6</v>
      </c>
      <c r="L212">
        <f>_xlfn.XLOOKUP(
    tblLabs[[#This Row],[Code]],
    'LAB PRICES'!$A$2:$A$12,
    'LAB PRICES'!$G$2:$G$12
)</f>
        <v>23</v>
      </c>
    </row>
    <row r="213" spans="1:12" x14ac:dyDescent="0.25">
      <c r="A213" t="s">
        <v>1630</v>
      </c>
      <c r="B213" t="s">
        <v>1730</v>
      </c>
      <c r="C213">
        <v>12</v>
      </c>
      <c r="D213" t="s">
        <v>1800</v>
      </c>
      <c r="E213" t="s">
        <v>1878</v>
      </c>
      <c r="F213" t="s">
        <v>1889</v>
      </c>
      <c r="G213" s="7">
        <v>45773</v>
      </c>
      <c r="H213" t="s">
        <v>11</v>
      </c>
      <c r="I213" t="s">
        <v>1853</v>
      </c>
      <c r="J213" t="s">
        <v>8</v>
      </c>
      <c r="K213">
        <f>INDEX('LAB PRICES'!$C$2:$F$12, MATCH(tblLabs[[#This Row],[Code]], 'LAB PRICES'!$A$2:$A$12, 0), MATCH(tblLabs[[#This Row],[Facility]], 'LAB PRICES'!$C$1:$F$1, 0))</f>
        <v>6</v>
      </c>
      <c r="L213">
        <f>_xlfn.XLOOKUP(
    tblLabs[[#This Row],[Code]],
    'LAB PRICES'!$A$2:$A$12,
    'LAB PRICES'!$G$2:$G$12
)</f>
        <v>23</v>
      </c>
    </row>
    <row r="214" spans="1:12" x14ac:dyDescent="0.25">
      <c r="A214" t="s">
        <v>1630</v>
      </c>
      <c r="B214" t="s">
        <v>1730</v>
      </c>
      <c r="C214">
        <v>14</v>
      </c>
      <c r="D214" t="s">
        <v>1801</v>
      </c>
      <c r="E214" t="s">
        <v>1878</v>
      </c>
      <c r="F214" t="s">
        <v>1889</v>
      </c>
      <c r="G214" s="7">
        <v>45773</v>
      </c>
      <c r="H214" t="s">
        <v>11</v>
      </c>
      <c r="I214" t="s">
        <v>1853</v>
      </c>
      <c r="J214" t="s">
        <v>8</v>
      </c>
      <c r="K214">
        <f>INDEX('LAB PRICES'!$C$2:$F$12, MATCH(tblLabs[[#This Row],[Code]], 'LAB PRICES'!$A$2:$A$12, 0), MATCH(tblLabs[[#This Row],[Facility]], 'LAB PRICES'!$C$1:$F$1, 0))</f>
        <v>6</v>
      </c>
      <c r="L214">
        <f>_xlfn.XLOOKUP(
    tblLabs[[#This Row],[Code]],
    'LAB PRICES'!$A$2:$A$12,
    'LAB PRICES'!$G$2:$G$12
)</f>
        <v>23</v>
      </c>
    </row>
    <row r="215" spans="1:12" x14ac:dyDescent="0.25">
      <c r="A215" t="s">
        <v>403</v>
      </c>
      <c r="B215" t="s">
        <v>404</v>
      </c>
      <c r="C215">
        <v>12</v>
      </c>
      <c r="D215" t="s">
        <v>355</v>
      </c>
      <c r="E215" t="s">
        <v>61</v>
      </c>
      <c r="F215" t="s">
        <v>1892</v>
      </c>
      <c r="G215" s="7">
        <v>45202</v>
      </c>
      <c r="H215" t="s">
        <v>62</v>
      </c>
      <c r="I215" t="s">
        <v>357</v>
      </c>
      <c r="J215" t="s">
        <v>8</v>
      </c>
      <c r="K215">
        <f>INDEX('LAB PRICES'!$C$2:$F$12, MATCH(tblLabs[[#This Row],[Code]], 'LAB PRICES'!$A$2:$A$12, 0), MATCH(tblLabs[[#This Row],[Facility]], 'LAB PRICES'!$C$1:$F$1, 0))</f>
        <v>16</v>
      </c>
      <c r="L215">
        <f>_xlfn.XLOOKUP(
    tblLabs[[#This Row],[Code]],
    'LAB PRICES'!$A$2:$A$12,
    'LAB PRICES'!$G$2:$G$12
)</f>
        <v>23</v>
      </c>
    </row>
    <row r="216" spans="1:12" x14ac:dyDescent="0.25">
      <c r="A216" t="s">
        <v>403</v>
      </c>
      <c r="B216" t="s">
        <v>404</v>
      </c>
      <c r="C216">
        <v>5</v>
      </c>
      <c r="D216" t="s">
        <v>628</v>
      </c>
      <c r="E216" t="s">
        <v>14</v>
      </c>
      <c r="F216" t="s">
        <v>1891</v>
      </c>
      <c r="G216" s="7">
        <v>45234</v>
      </c>
      <c r="H216" t="s">
        <v>62</v>
      </c>
      <c r="I216" t="s">
        <v>371</v>
      </c>
      <c r="J216" t="s">
        <v>8</v>
      </c>
      <c r="K216">
        <f>INDEX('LAB PRICES'!$C$2:$F$12, MATCH(tblLabs[[#This Row],[Code]], 'LAB PRICES'!$A$2:$A$12, 0), MATCH(tblLabs[[#This Row],[Facility]], 'LAB PRICES'!$C$1:$F$1, 0))</f>
        <v>40</v>
      </c>
      <c r="L216">
        <f>_xlfn.XLOOKUP(
    tblLabs[[#This Row],[Code]],
    'LAB PRICES'!$A$2:$A$12,
    'LAB PRICES'!$G$2:$G$12
)</f>
        <v>100</v>
      </c>
    </row>
    <row r="217" spans="1:12" x14ac:dyDescent="0.25">
      <c r="A217" t="s">
        <v>403</v>
      </c>
      <c r="B217" t="s">
        <v>404</v>
      </c>
      <c r="C217">
        <v>5</v>
      </c>
      <c r="D217" t="s">
        <v>627</v>
      </c>
      <c r="E217" t="s">
        <v>14</v>
      </c>
      <c r="F217" t="s">
        <v>1891</v>
      </c>
      <c r="G217" s="7">
        <v>45234</v>
      </c>
      <c r="H217" t="s">
        <v>25</v>
      </c>
      <c r="I217" t="s">
        <v>357</v>
      </c>
      <c r="J217" t="s">
        <v>8</v>
      </c>
      <c r="K217">
        <f>INDEX('LAB PRICES'!$C$2:$F$12, MATCH(tblLabs[[#This Row],[Code]], 'LAB PRICES'!$A$2:$A$12, 0), MATCH(tblLabs[[#This Row],[Facility]], 'LAB PRICES'!$C$1:$F$1, 0))</f>
        <v>40</v>
      </c>
      <c r="L217">
        <f>_xlfn.XLOOKUP(
    tblLabs[[#This Row],[Code]],
    'LAB PRICES'!$A$2:$A$12,
    'LAB PRICES'!$G$2:$G$12
)</f>
        <v>100</v>
      </c>
    </row>
    <row r="218" spans="1:12" x14ac:dyDescent="0.25">
      <c r="A218" t="s">
        <v>403</v>
      </c>
      <c r="B218" t="s">
        <v>404</v>
      </c>
      <c r="C218">
        <v>22</v>
      </c>
      <c r="D218" t="s">
        <v>358</v>
      </c>
      <c r="E218" t="s">
        <v>1878</v>
      </c>
      <c r="F218" t="s">
        <v>1889</v>
      </c>
      <c r="G218" s="7">
        <v>45232</v>
      </c>
      <c r="H218" t="s">
        <v>25</v>
      </c>
      <c r="I218" t="s">
        <v>359</v>
      </c>
      <c r="J218" t="s">
        <v>26</v>
      </c>
      <c r="K218">
        <f>INDEX('LAB PRICES'!$C$2:$F$12, MATCH(tblLabs[[#This Row],[Code]], 'LAB PRICES'!$A$2:$A$12, 0), MATCH(tblLabs[[#This Row],[Facility]], 'LAB PRICES'!$C$1:$F$1, 0))</f>
        <v>5</v>
      </c>
      <c r="L218">
        <f>_xlfn.XLOOKUP(
    tblLabs[[#This Row],[Code]],
    'LAB PRICES'!$A$2:$A$12,
    'LAB PRICES'!$G$2:$G$12
)</f>
        <v>23</v>
      </c>
    </row>
    <row r="219" spans="1:12" x14ac:dyDescent="0.25">
      <c r="A219" t="s">
        <v>403</v>
      </c>
      <c r="B219" t="s">
        <v>404</v>
      </c>
      <c r="C219">
        <v>5</v>
      </c>
      <c r="D219" t="s">
        <v>626</v>
      </c>
      <c r="E219" t="s">
        <v>14</v>
      </c>
      <c r="F219" t="s">
        <v>1891</v>
      </c>
      <c r="G219" s="7">
        <v>45241</v>
      </c>
      <c r="H219" t="s">
        <v>62</v>
      </c>
      <c r="I219" t="s">
        <v>375</v>
      </c>
      <c r="J219" t="s">
        <v>8</v>
      </c>
      <c r="K219">
        <f>INDEX('LAB PRICES'!$C$2:$F$12, MATCH(tblLabs[[#This Row],[Code]], 'LAB PRICES'!$A$2:$A$12, 0), MATCH(tblLabs[[#This Row],[Facility]], 'LAB PRICES'!$C$1:$F$1, 0))</f>
        <v>40</v>
      </c>
      <c r="L219">
        <f>_xlfn.XLOOKUP(
    tblLabs[[#This Row],[Code]],
    'LAB PRICES'!$A$2:$A$12,
    'LAB PRICES'!$G$2:$G$12
)</f>
        <v>100</v>
      </c>
    </row>
    <row r="220" spans="1:12" x14ac:dyDescent="0.25">
      <c r="A220" t="s">
        <v>403</v>
      </c>
      <c r="B220" t="s">
        <v>404</v>
      </c>
      <c r="C220">
        <v>5</v>
      </c>
      <c r="D220" t="s">
        <v>383</v>
      </c>
      <c r="E220" t="s">
        <v>14</v>
      </c>
      <c r="F220" t="s">
        <v>1891</v>
      </c>
      <c r="G220" s="7">
        <v>45248</v>
      </c>
      <c r="H220" t="s">
        <v>71</v>
      </c>
      <c r="I220" t="s">
        <v>382</v>
      </c>
      <c r="J220" t="s">
        <v>8</v>
      </c>
      <c r="K220">
        <f>INDEX('LAB PRICES'!$C$2:$F$12, MATCH(tblLabs[[#This Row],[Code]], 'LAB PRICES'!$A$2:$A$12, 0), MATCH(tblLabs[[#This Row],[Facility]], 'LAB PRICES'!$C$1:$F$1, 0))</f>
        <v>40</v>
      </c>
      <c r="L220">
        <f>_xlfn.XLOOKUP(
    tblLabs[[#This Row],[Code]],
    'LAB PRICES'!$A$2:$A$12,
    'LAB PRICES'!$G$2:$G$12
)</f>
        <v>100</v>
      </c>
    </row>
    <row r="221" spans="1:12" x14ac:dyDescent="0.25">
      <c r="A221" t="s">
        <v>403</v>
      </c>
      <c r="B221" t="s">
        <v>404</v>
      </c>
      <c r="C221">
        <v>12</v>
      </c>
      <c r="D221" t="s">
        <v>368</v>
      </c>
      <c r="E221" t="s">
        <v>237</v>
      </c>
      <c r="F221" t="s">
        <v>1890</v>
      </c>
      <c r="G221" s="7">
        <v>45234</v>
      </c>
      <c r="H221" t="s">
        <v>25</v>
      </c>
      <c r="I221" t="s">
        <v>369</v>
      </c>
      <c r="J221" t="s">
        <v>8</v>
      </c>
      <c r="K221">
        <f>INDEX('LAB PRICES'!$C$2:$F$12, MATCH(tblLabs[[#This Row],[Code]], 'LAB PRICES'!$A$2:$A$12, 0), MATCH(tblLabs[[#This Row],[Facility]], 'LAB PRICES'!$C$1:$F$1, 0))</f>
        <v>6</v>
      </c>
      <c r="L221">
        <f>_xlfn.XLOOKUP(
    tblLabs[[#This Row],[Code]],
    'LAB PRICES'!$A$2:$A$12,
    'LAB PRICES'!$G$2:$G$12
)</f>
        <v>27</v>
      </c>
    </row>
    <row r="222" spans="1:12" x14ac:dyDescent="0.25">
      <c r="A222" t="s">
        <v>403</v>
      </c>
      <c r="B222" t="s">
        <v>404</v>
      </c>
      <c r="C222">
        <v>12</v>
      </c>
      <c r="D222" t="s">
        <v>370</v>
      </c>
      <c r="E222" t="s">
        <v>237</v>
      </c>
      <c r="F222" t="s">
        <v>1890</v>
      </c>
      <c r="G222" s="7">
        <v>45234</v>
      </c>
      <c r="H222" t="s">
        <v>62</v>
      </c>
      <c r="I222" t="s">
        <v>272</v>
      </c>
      <c r="J222" t="s">
        <v>8</v>
      </c>
      <c r="K222">
        <f>INDEX('LAB PRICES'!$C$2:$F$12, MATCH(tblLabs[[#This Row],[Code]], 'LAB PRICES'!$A$2:$A$12, 0), MATCH(tblLabs[[#This Row],[Facility]], 'LAB PRICES'!$C$1:$F$1, 0))</f>
        <v>6</v>
      </c>
      <c r="L222">
        <f>_xlfn.XLOOKUP(
    tblLabs[[#This Row],[Code]],
    'LAB PRICES'!$A$2:$A$12,
    'LAB PRICES'!$G$2:$G$12
)</f>
        <v>27</v>
      </c>
    </row>
    <row r="223" spans="1:12" x14ac:dyDescent="0.25">
      <c r="A223" t="s">
        <v>403</v>
      </c>
      <c r="B223" t="s">
        <v>404</v>
      </c>
      <c r="C223">
        <v>14</v>
      </c>
      <c r="D223" t="s">
        <v>366</v>
      </c>
      <c r="E223" t="s">
        <v>1878</v>
      </c>
      <c r="F223" t="s">
        <v>1889</v>
      </c>
      <c r="G223" s="7">
        <v>45233</v>
      </c>
      <c r="H223" t="s">
        <v>62</v>
      </c>
      <c r="I223" t="s">
        <v>367</v>
      </c>
      <c r="J223" t="s">
        <v>8</v>
      </c>
      <c r="K223">
        <f>INDEX('LAB PRICES'!$C$2:$F$12, MATCH(tblLabs[[#This Row],[Code]], 'LAB PRICES'!$A$2:$A$12, 0), MATCH(tblLabs[[#This Row],[Facility]], 'LAB PRICES'!$C$1:$F$1, 0))</f>
        <v>6</v>
      </c>
      <c r="L223">
        <f>_xlfn.XLOOKUP(
    tblLabs[[#This Row],[Code]],
    'LAB PRICES'!$A$2:$A$12,
    'LAB PRICES'!$G$2:$G$12
)</f>
        <v>23</v>
      </c>
    </row>
    <row r="224" spans="1:12" x14ac:dyDescent="0.25">
      <c r="A224" t="s">
        <v>403</v>
      </c>
      <c r="B224" t="s">
        <v>404</v>
      </c>
      <c r="C224">
        <v>12</v>
      </c>
      <c r="D224" t="s">
        <v>362</v>
      </c>
      <c r="E224" t="s">
        <v>1878</v>
      </c>
      <c r="F224" t="s">
        <v>1889</v>
      </c>
      <c r="G224" s="7">
        <v>45233</v>
      </c>
      <c r="H224" t="s">
        <v>62</v>
      </c>
      <c r="I224" t="s">
        <v>363</v>
      </c>
      <c r="J224" t="s">
        <v>8</v>
      </c>
      <c r="K224">
        <f>INDEX('LAB PRICES'!$C$2:$F$12, MATCH(tblLabs[[#This Row],[Code]], 'LAB PRICES'!$A$2:$A$12, 0), MATCH(tblLabs[[#This Row],[Facility]], 'LAB PRICES'!$C$1:$F$1, 0))</f>
        <v>6</v>
      </c>
      <c r="L224">
        <f>_xlfn.XLOOKUP(
    tblLabs[[#This Row],[Code]],
    'LAB PRICES'!$A$2:$A$12,
    'LAB PRICES'!$G$2:$G$12
)</f>
        <v>23</v>
      </c>
    </row>
    <row r="225" spans="1:12" x14ac:dyDescent="0.25">
      <c r="A225" t="s">
        <v>403</v>
      </c>
      <c r="B225" t="s">
        <v>404</v>
      </c>
      <c r="C225">
        <v>14</v>
      </c>
      <c r="D225" t="s">
        <v>364</v>
      </c>
      <c r="E225" t="s">
        <v>1878</v>
      </c>
      <c r="F225" t="s">
        <v>1889</v>
      </c>
      <c r="G225" s="7">
        <v>45233</v>
      </c>
      <c r="H225" t="s">
        <v>25</v>
      </c>
      <c r="I225" t="s">
        <v>365</v>
      </c>
      <c r="J225" t="s">
        <v>8</v>
      </c>
      <c r="K225">
        <f>INDEX('LAB PRICES'!$C$2:$F$12, MATCH(tblLabs[[#This Row],[Code]], 'LAB PRICES'!$A$2:$A$12, 0), MATCH(tblLabs[[#This Row],[Facility]], 'LAB PRICES'!$C$1:$F$1, 0))</f>
        <v>6</v>
      </c>
      <c r="L225">
        <f>_xlfn.XLOOKUP(
    tblLabs[[#This Row],[Code]],
    'LAB PRICES'!$A$2:$A$12,
    'LAB PRICES'!$G$2:$G$12
)</f>
        <v>23</v>
      </c>
    </row>
    <row r="226" spans="1:12" x14ac:dyDescent="0.25">
      <c r="A226" t="s">
        <v>403</v>
      </c>
      <c r="B226" t="s">
        <v>404</v>
      </c>
      <c r="C226">
        <v>8</v>
      </c>
      <c r="D226" t="s">
        <v>360</v>
      </c>
      <c r="E226" t="s">
        <v>1878</v>
      </c>
      <c r="F226" t="s">
        <v>1889</v>
      </c>
      <c r="G226" s="7">
        <v>45233</v>
      </c>
      <c r="H226" t="s">
        <v>25</v>
      </c>
      <c r="I226" t="s">
        <v>361</v>
      </c>
      <c r="J226" t="s">
        <v>8</v>
      </c>
      <c r="K226">
        <f>INDEX('LAB PRICES'!$C$2:$F$12, MATCH(tblLabs[[#This Row],[Code]], 'LAB PRICES'!$A$2:$A$12, 0), MATCH(tblLabs[[#This Row],[Facility]], 'LAB PRICES'!$C$1:$F$1, 0))</f>
        <v>6</v>
      </c>
      <c r="L226">
        <f>_xlfn.XLOOKUP(
    tblLabs[[#This Row],[Code]],
    'LAB PRICES'!$A$2:$A$12,
    'LAB PRICES'!$G$2:$G$12
)</f>
        <v>23</v>
      </c>
    </row>
    <row r="227" spans="1:12" x14ac:dyDescent="0.25">
      <c r="A227" t="s">
        <v>403</v>
      </c>
      <c r="B227" t="s">
        <v>404</v>
      </c>
      <c r="C227">
        <v>12</v>
      </c>
      <c r="D227" t="s">
        <v>384</v>
      </c>
      <c r="E227" t="s">
        <v>1878</v>
      </c>
      <c r="F227" t="s">
        <v>1889</v>
      </c>
      <c r="G227" s="7">
        <v>45253</v>
      </c>
      <c r="H227" t="s">
        <v>25</v>
      </c>
      <c r="I227" t="s">
        <v>385</v>
      </c>
      <c r="J227" t="s">
        <v>26</v>
      </c>
      <c r="K227">
        <f>INDEX('LAB PRICES'!$C$2:$F$12, MATCH(tblLabs[[#This Row],[Code]], 'LAB PRICES'!$A$2:$A$12, 0), MATCH(tblLabs[[#This Row],[Facility]], 'LAB PRICES'!$C$1:$F$1, 0))</f>
        <v>5</v>
      </c>
      <c r="L227">
        <f>_xlfn.XLOOKUP(
    tblLabs[[#This Row],[Code]],
    'LAB PRICES'!$A$2:$A$12,
    'LAB PRICES'!$G$2:$G$12
)</f>
        <v>23</v>
      </c>
    </row>
    <row r="228" spans="1:12" x14ac:dyDescent="0.25">
      <c r="A228" t="s">
        <v>403</v>
      </c>
      <c r="B228" t="s">
        <v>404</v>
      </c>
      <c r="C228">
        <v>11</v>
      </c>
      <c r="D228" t="s">
        <v>388</v>
      </c>
      <c r="E228" t="s">
        <v>14</v>
      </c>
      <c r="F228" t="s">
        <v>1891</v>
      </c>
      <c r="G228" s="7">
        <v>45254</v>
      </c>
      <c r="H228" t="s">
        <v>25</v>
      </c>
      <c r="I228" t="s">
        <v>385</v>
      </c>
      <c r="J228" t="s">
        <v>26</v>
      </c>
      <c r="K228">
        <f>INDEX('LAB PRICES'!$C$2:$F$12, MATCH(tblLabs[[#This Row],[Code]], 'LAB PRICES'!$A$2:$A$12, 0), MATCH(tblLabs[[#This Row],[Facility]], 'LAB PRICES'!$C$1:$F$1, 0))</f>
        <v>30</v>
      </c>
      <c r="L228">
        <f>_xlfn.XLOOKUP(
    tblLabs[[#This Row],[Code]],
    'LAB PRICES'!$A$2:$A$12,
    'LAB PRICES'!$G$2:$G$12
)</f>
        <v>100</v>
      </c>
    </row>
    <row r="229" spans="1:12" x14ac:dyDescent="0.25">
      <c r="A229" t="s">
        <v>403</v>
      </c>
      <c r="B229" t="s">
        <v>404</v>
      </c>
      <c r="C229">
        <v>12</v>
      </c>
      <c r="D229" t="s">
        <v>387</v>
      </c>
      <c r="E229" t="s">
        <v>237</v>
      </c>
      <c r="F229" t="s">
        <v>1890</v>
      </c>
      <c r="G229" s="7">
        <v>45254</v>
      </c>
      <c r="H229" t="s">
        <v>25</v>
      </c>
      <c r="I229" t="s">
        <v>385</v>
      </c>
      <c r="J229" t="s">
        <v>26</v>
      </c>
      <c r="K229">
        <f>INDEX('LAB PRICES'!$C$2:$F$12, MATCH(tblLabs[[#This Row],[Code]], 'LAB PRICES'!$A$2:$A$12, 0), MATCH(tblLabs[[#This Row],[Facility]], 'LAB PRICES'!$C$1:$F$1, 0))</f>
        <v>5</v>
      </c>
      <c r="L229">
        <f>_xlfn.XLOOKUP(
    tblLabs[[#This Row],[Code]],
    'LAB PRICES'!$A$2:$A$12,
    'LAB PRICES'!$G$2:$G$12
)</f>
        <v>27</v>
      </c>
    </row>
    <row r="230" spans="1:12" x14ac:dyDescent="0.25">
      <c r="A230" t="s">
        <v>403</v>
      </c>
      <c r="B230" t="s">
        <v>404</v>
      </c>
      <c r="C230">
        <v>27</v>
      </c>
      <c r="D230" t="s">
        <v>386</v>
      </c>
      <c r="E230" t="s">
        <v>1878</v>
      </c>
      <c r="F230" t="s">
        <v>1889</v>
      </c>
      <c r="G230" s="7">
        <v>45253</v>
      </c>
      <c r="H230" t="s">
        <v>25</v>
      </c>
      <c r="I230" t="s">
        <v>385</v>
      </c>
      <c r="J230" t="s">
        <v>26</v>
      </c>
      <c r="K230">
        <f>INDEX('LAB PRICES'!$C$2:$F$12, MATCH(tblLabs[[#This Row],[Code]], 'LAB PRICES'!$A$2:$A$12, 0), MATCH(tblLabs[[#This Row],[Facility]], 'LAB PRICES'!$C$1:$F$1, 0))</f>
        <v>5</v>
      </c>
      <c r="L230">
        <f>_xlfn.XLOOKUP(
    tblLabs[[#This Row],[Code]],
    'LAB PRICES'!$A$2:$A$12,
    'LAB PRICES'!$G$2:$G$12
)</f>
        <v>23</v>
      </c>
    </row>
    <row r="231" spans="1:12" x14ac:dyDescent="0.25">
      <c r="A231" t="s">
        <v>403</v>
      </c>
      <c r="B231" t="s">
        <v>404</v>
      </c>
      <c r="C231">
        <v>12</v>
      </c>
      <c r="D231" t="s">
        <v>376</v>
      </c>
      <c r="E231" t="s">
        <v>237</v>
      </c>
      <c r="F231" t="s">
        <v>1890</v>
      </c>
      <c r="G231" s="7">
        <v>45241</v>
      </c>
      <c r="H231" t="s">
        <v>62</v>
      </c>
      <c r="I231" t="s">
        <v>375</v>
      </c>
      <c r="J231" t="s">
        <v>8</v>
      </c>
      <c r="K231">
        <f>INDEX('LAB PRICES'!$C$2:$F$12, MATCH(tblLabs[[#This Row],[Code]], 'LAB PRICES'!$A$2:$A$12, 0), MATCH(tblLabs[[#This Row],[Facility]], 'LAB PRICES'!$C$1:$F$1, 0))</f>
        <v>6</v>
      </c>
      <c r="L231">
        <f>_xlfn.XLOOKUP(
    tblLabs[[#This Row],[Code]],
    'LAB PRICES'!$A$2:$A$12,
    'LAB PRICES'!$G$2:$G$12
)</f>
        <v>27</v>
      </c>
    </row>
    <row r="232" spans="1:12" x14ac:dyDescent="0.25">
      <c r="A232" t="s">
        <v>403</v>
      </c>
      <c r="B232" t="s">
        <v>404</v>
      </c>
      <c r="C232">
        <v>12</v>
      </c>
      <c r="D232" t="s">
        <v>372</v>
      </c>
      <c r="E232" t="s">
        <v>1878</v>
      </c>
      <c r="F232" t="s">
        <v>1889</v>
      </c>
      <c r="G232" s="7">
        <v>45240</v>
      </c>
      <c r="H232" t="s">
        <v>62</v>
      </c>
      <c r="I232" t="s">
        <v>373</v>
      </c>
      <c r="J232" t="s">
        <v>8</v>
      </c>
      <c r="K232">
        <f>INDEX('LAB PRICES'!$C$2:$F$12, MATCH(tblLabs[[#This Row],[Code]], 'LAB PRICES'!$A$2:$A$12, 0), MATCH(tblLabs[[#This Row],[Facility]], 'LAB PRICES'!$C$1:$F$1, 0))</f>
        <v>6</v>
      </c>
      <c r="L232">
        <f>_xlfn.XLOOKUP(
    tblLabs[[#This Row],[Code]],
    'LAB PRICES'!$A$2:$A$12,
    'LAB PRICES'!$G$2:$G$12
)</f>
        <v>23</v>
      </c>
    </row>
    <row r="233" spans="1:12" x14ac:dyDescent="0.25">
      <c r="A233" t="s">
        <v>403</v>
      </c>
      <c r="B233" t="s">
        <v>404</v>
      </c>
      <c r="C233">
        <v>14</v>
      </c>
      <c r="D233" t="s">
        <v>374</v>
      </c>
      <c r="E233" t="s">
        <v>1878</v>
      </c>
      <c r="F233" t="s">
        <v>1889</v>
      </c>
      <c r="G233" s="7">
        <v>45240</v>
      </c>
      <c r="H233" t="s">
        <v>62</v>
      </c>
      <c r="I233" t="s">
        <v>375</v>
      </c>
      <c r="J233" t="s">
        <v>8</v>
      </c>
      <c r="K233">
        <f>INDEX('LAB PRICES'!$C$2:$F$12, MATCH(tblLabs[[#This Row],[Code]], 'LAB PRICES'!$A$2:$A$12, 0), MATCH(tblLabs[[#This Row],[Facility]], 'LAB PRICES'!$C$1:$F$1, 0))</f>
        <v>6</v>
      </c>
      <c r="L233">
        <f>_xlfn.XLOOKUP(
    tblLabs[[#This Row],[Code]],
    'LAB PRICES'!$A$2:$A$12,
    'LAB PRICES'!$G$2:$G$12
)</f>
        <v>23</v>
      </c>
    </row>
    <row r="234" spans="1:12" x14ac:dyDescent="0.25">
      <c r="A234" t="s">
        <v>403</v>
      </c>
      <c r="B234" t="s">
        <v>404</v>
      </c>
      <c r="C234">
        <v>12</v>
      </c>
      <c r="D234" t="s">
        <v>381</v>
      </c>
      <c r="E234" t="s">
        <v>237</v>
      </c>
      <c r="F234" t="s">
        <v>1890</v>
      </c>
      <c r="G234" s="7">
        <v>45248</v>
      </c>
      <c r="H234" t="s">
        <v>71</v>
      </c>
      <c r="I234" t="s">
        <v>382</v>
      </c>
      <c r="J234" t="s">
        <v>8</v>
      </c>
      <c r="K234">
        <f>INDEX('LAB PRICES'!$C$2:$F$12, MATCH(tblLabs[[#This Row],[Code]], 'LAB PRICES'!$A$2:$A$12, 0), MATCH(tblLabs[[#This Row],[Facility]], 'LAB PRICES'!$C$1:$F$1, 0))</f>
        <v>6</v>
      </c>
      <c r="L234">
        <f>_xlfn.XLOOKUP(
    tblLabs[[#This Row],[Code]],
    'LAB PRICES'!$A$2:$A$12,
    'LAB PRICES'!$G$2:$G$12
)</f>
        <v>27</v>
      </c>
    </row>
    <row r="235" spans="1:12" x14ac:dyDescent="0.25">
      <c r="A235" t="s">
        <v>403</v>
      </c>
      <c r="B235" t="s">
        <v>404</v>
      </c>
      <c r="C235">
        <v>12</v>
      </c>
      <c r="D235" t="s">
        <v>377</v>
      </c>
      <c r="E235" t="s">
        <v>1878</v>
      </c>
      <c r="F235" t="s">
        <v>1889</v>
      </c>
      <c r="G235" s="7">
        <v>45247</v>
      </c>
      <c r="H235" t="s">
        <v>71</v>
      </c>
      <c r="I235" t="s">
        <v>378</v>
      </c>
      <c r="J235" t="s">
        <v>8</v>
      </c>
      <c r="K235">
        <f>INDEX('LAB PRICES'!$C$2:$F$12, MATCH(tblLabs[[#This Row],[Code]], 'LAB PRICES'!$A$2:$A$12, 0), MATCH(tblLabs[[#This Row],[Facility]], 'LAB PRICES'!$C$1:$F$1, 0))</f>
        <v>6</v>
      </c>
      <c r="L235">
        <f>_xlfn.XLOOKUP(
    tblLabs[[#This Row],[Code]],
    'LAB PRICES'!$A$2:$A$12,
    'LAB PRICES'!$G$2:$G$12
)</f>
        <v>23</v>
      </c>
    </row>
    <row r="236" spans="1:12" x14ac:dyDescent="0.25">
      <c r="A236" t="s">
        <v>403</v>
      </c>
      <c r="B236" t="s">
        <v>404</v>
      </c>
      <c r="C236">
        <v>14</v>
      </c>
      <c r="D236" t="s">
        <v>379</v>
      </c>
      <c r="E236" t="s">
        <v>1878</v>
      </c>
      <c r="F236" t="s">
        <v>1889</v>
      </c>
      <c r="G236" s="7">
        <v>45247</v>
      </c>
      <c r="H236" t="s">
        <v>71</v>
      </c>
      <c r="I236" t="s">
        <v>380</v>
      </c>
      <c r="J236" t="s">
        <v>8</v>
      </c>
      <c r="K236">
        <f>INDEX('LAB PRICES'!$C$2:$F$12, MATCH(tblLabs[[#This Row],[Code]], 'LAB PRICES'!$A$2:$A$12, 0), MATCH(tblLabs[[#This Row],[Facility]], 'LAB PRICES'!$C$1:$F$1, 0))</f>
        <v>6</v>
      </c>
      <c r="L236">
        <f>_xlfn.XLOOKUP(
    tblLabs[[#This Row],[Code]],
    'LAB PRICES'!$A$2:$A$12,
    'LAB PRICES'!$G$2:$G$12
)</f>
        <v>23</v>
      </c>
    </row>
    <row r="237" spans="1:12" x14ac:dyDescent="0.25">
      <c r="A237" t="s">
        <v>403</v>
      </c>
      <c r="B237" t="s">
        <v>404</v>
      </c>
      <c r="C237">
        <v>12</v>
      </c>
      <c r="D237" t="s">
        <v>395</v>
      </c>
      <c r="E237" t="s">
        <v>237</v>
      </c>
      <c r="F237" t="s">
        <v>1890</v>
      </c>
      <c r="G237" s="7">
        <v>45628</v>
      </c>
      <c r="H237" t="s">
        <v>71</v>
      </c>
      <c r="I237" t="s">
        <v>396</v>
      </c>
      <c r="J237" t="s">
        <v>8</v>
      </c>
      <c r="K237">
        <f>INDEX('LAB PRICES'!$C$2:$F$12, MATCH(tblLabs[[#This Row],[Code]], 'LAB PRICES'!$A$2:$A$12, 0), MATCH(tblLabs[[#This Row],[Facility]], 'LAB PRICES'!$C$1:$F$1, 0))</f>
        <v>6</v>
      </c>
      <c r="L237">
        <f>_xlfn.XLOOKUP(
    tblLabs[[#This Row],[Code]],
    'LAB PRICES'!$A$2:$A$12,
    'LAB PRICES'!$G$2:$G$12
)</f>
        <v>27</v>
      </c>
    </row>
    <row r="238" spans="1:12" x14ac:dyDescent="0.25">
      <c r="A238" t="s">
        <v>403</v>
      </c>
      <c r="B238" t="s">
        <v>404</v>
      </c>
      <c r="C238">
        <v>14</v>
      </c>
      <c r="D238" t="s">
        <v>391</v>
      </c>
      <c r="E238" t="s">
        <v>1878</v>
      </c>
      <c r="F238" t="s">
        <v>1889</v>
      </c>
      <c r="G238" s="7">
        <v>45262</v>
      </c>
      <c r="H238" t="s">
        <v>71</v>
      </c>
      <c r="I238" t="s">
        <v>392</v>
      </c>
      <c r="J238" t="s">
        <v>8</v>
      </c>
      <c r="K238">
        <f>INDEX('LAB PRICES'!$C$2:$F$12, MATCH(tblLabs[[#This Row],[Code]], 'LAB PRICES'!$A$2:$A$12, 0), MATCH(tblLabs[[#This Row],[Facility]], 'LAB PRICES'!$C$1:$F$1, 0))</f>
        <v>6</v>
      </c>
      <c r="L238">
        <f>_xlfn.XLOOKUP(
    tblLabs[[#This Row],[Code]],
    'LAB PRICES'!$A$2:$A$12,
    'LAB PRICES'!$G$2:$G$12
)</f>
        <v>23</v>
      </c>
    </row>
    <row r="239" spans="1:12" x14ac:dyDescent="0.25">
      <c r="A239" t="s">
        <v>403</v>
      </c>
      <c r="B239" t="s">
        <v>404</v>
      </c>
      <c r="C239">
        <v>12</v>
      </c>
      <c r="D239" t="s">
        <v>389</v>
      </c>
      <c r="E239" t="s">
        <v>1878</v>
      </c>
      <c r="F239" t="s">
        <v>1889</v>
      </c>
      <c r="G239" s="7">
        <v>45261</v>
      </c>
      <c r="H239" t="s">
        <v>71</v>
      </c>
      <c r="I239" t="s">
        <v>390</v>
      </c>
      <c r="J239" t="s">
        <v>8</v>
      </c>
      <c r="K239">
        <f>INDEX('LAB PRICES'!$C$2:$F$12, MATCH(tblLabs[[#This Row],[Code]], 'LAB PRICES'!$A$2:$A$12, 0), MATCH(tblLabs[[#This Row],[Facility]], 'LAB PRICES'!$C$1:$F$1, 0))</f>
        <v>6</v>
      </c>
      <c r="L239">
        <f>_xlfn.XLOOKUP(
    tblLabs[[#This Row],[Code]],
    'LAB PRICES'!$A$2:$A$12,
    'LAB PRICES'!$G$2:$G$12
)</f>
        <v>23</v>
      </c>
    </row>
    <row r="240" spans="1:12" x14ac:dyDescent="0.25">
      <c r="A240" t="s">
        <v>403</v>
      </c>
      <c r="B240" t="s">
        <v>404</v>
      </c>
      <c r="C240">
        <v>5</v>
      </c>
      <c r="D240" t="s">
        <v>393</v>
      </c>
      <c r="E240" t="s">
        <v>14</v>
      </c>
      <c r="F240" t="s">
        <v>1891</v>
      </c>
      <c r="G240" s="7">
        <v>45262</v>
      </c>
      <c r="H240" t="s">
        <v>71</v>
      </c>
      <c r="I240" t="s">
        <v>394</v>
      </c>
      <c r="J240" t="s">
        <v>8</v>
      </c>
      <c r="K240">
        <f>INDEX('LAB PRICES'!$C$2:$F$12, MATCH(tblLabs[[#This Row],[Code]], 'LAB PRICES'!$A$2:$A$12, 0), MATCH(tblLabs[[#This Row],[Facility]], 'LAB PRICES'!$C$1:$F$1, 0))</f>
        <v>40</v>
      </c>
      <c r="L240">
        <f>_xlfn.XLOOKUP(
    tblLabs[[#This Row],[Code]],
    'LAB PRICES'!$A$2:$A$12,
    'LAB PRICES'!$G$2:$G$12
)</f>
        <v>100</v>
      </c>
    </row>
    <row r="241" spans="1:12" x14ac:dyDescent="0.25">
      <c r="A241" t="s">
        <v>476</v>
      </c>
      <c r="B241" t="s">
        <v>477</v>
      </c>
      <c r="C241">
        <v>12</v>
      </c>
      <c r="D241" t="s">
        <v>618</v>
      </c>
      <c r="E241" t="s">
        <v>1878</v>
      </c>
      <c r="F241" t="s">
        <v>1889</v>
      </c>
      <c r="G241" s="7">
        <v>45808</v>
      </c>
      <c r="H241" t="s">
        <v>71</v>
      </c>
      <c r="I241" t="s">
        <v>615</v>
      </c>
      <c r="J241" t="s">
        <v>8</v>
      </c>
      <c r="K241">
        <f>INDEX('LAB PRICES'!$C$2:$F$12, MATCH(tblLabs[[#This Row],[Code]], 'LAB PRICES'!$A$2:$A$12, 0), MATCH(tblLabs[[#This Row],[Facility]], 'LAB PRICES'!$C$1:$F$1, 0))</f>
        <v>6</v>
      </c>
      <c r="L241">
        <f>_xlfn.XLOOKUP(
    tblLabs[[#This Row],[Code]],
    'LAB PRICES'!$A$2:$A$12,
    'LAB PRICES'!$G$2:$G$12
)</f>
        <v>23</v>
      </c>
    </row>
    <row r="242" spans="1:12" x14ac:dyDescent="0.25">
      <c r="A242" t="s">
        <v>476</v>
      </c>
      <c r="B242" t="s">
        <v>477</v>
      </c>
      <c r="C242">
        <v>5</v>
      </c>
      <c r="D242" t="s">
        <v>504</v>
      </c>
      <c r="E242" t="s">
        <v>14</v>
      </c>
      <c r="F242" t="s">
        <v>1891</v>
      </c>
      <c r="G242" s="7">
        <v>45542</v>
      </c>
      <c r="H242" t="s">
        <v>7</v>
      </c>
      <c r="I242" t="s">
        <v>478</v>
      </c>
      <c r="J242" t="s">
        <v>8</v>
      </c>
      <c r="K242">
        <f>INDEX('LAB PRICES'!$C$2:$F$12, MATCH(tblLabs[[#This Row],[Code]], 'LAB PRICES'!$A$2:$A$12, 0), MATCH(tblLabs[[#This Row],[Facility]], 'LAB PRICES'!$C$1:$F$1, 0))</f>
        <v>40</v>
      </c>
      <c r="L242">
        <f>_xlfn.XLOOKUP(
    tblLabs[[#This Row],[Code]],
    'LAB PRICES'!$A$2:$A$12,
    'LAB PRICES'!$G$2:$G$12
)</f>
        <v>100</v>
      </c>
    </row>
    <row r="243" spans="1:12" x14ac:dyDescent="0.25">
      <c r="A243" t="s">
        <v>476</v>
      </c>
      <c r="B243" t="s">
        <v>477</v>
      </c>
      <c r="C243">
        <v>5</v>
      </c>
      <c r="D243" t="s">
        <v>509</v>
      </c>
      <c r="E243" t="s">
        <v>14</v>
      </c>
      <c r="F243" t="s">
        <v>1891</v>
      </c>
      <c r="G243" s="7">
        <v>45549</v>
      </c>
      <c r="H243" t="s">
        <v>7</v>
      </c>
      <c r="I243" t="s">
        <v>506</v>
      </c>
      <c r="J243" t="s">
        <v>8</v>
      </c>
      <c r="K243">
        <f>INDEX('LAB PRICES'!$C$2:$F$12, MATCH(tblLabs[[#This Row],[Code]], 'LAB PRICES'!$A$2:$A$12, 0), MATCH(tblLabs[[#This Row],[Facility]], 'LAB PRICES'!$C$1:$F$1, 0))</f>
        <v>40</v>
      </c>
      <c r="L243">
        <f>_xlfn.XLOOKUP(
    tblLabs[[#This Row],[Code]],
    'LAB PRICES'!$A$2:$A$12,
    'LAB PRICES'!$G$2:$G$12
)</f>
        <v>100</v>
      </c>
    </row>
    <row r="244" spans="1:12" x14ac:dyDescent="0.25">
      <c r="A244" t="s">
        <v>476</v>
      </c>
      <c r="B244" t="s">
        <v>477</v>
      </c>
      <c r="C244">
        <v>12</v>
      </c>
      <c r="D244" t="s">
        <v>500</v>
      </c>
      <c r="E244" t="s">
        <v>1878</v>
      </c>
      <c r="F244" t="s">
        <v>1889</v>
      </c>
      <c r="G244" s="7">
        <v>45540</v>
      </c>
      <c r="H244" t="s">
        <v>7</v>
      </c>
      <c r="I244" t="s">
        <v>478</v>
      </c>
      <c r="J244" t="s">
        <v>8</v>
      </c>
      <c r="K244">
        <f>INDEX('LAB PRICES'!$C$2:$F$12, MATCH(tblLabs[[#This Row],[Code]], 'LAB PRICES'!$A$2:$A$12, 0), MATCH(tblLabs[[#This Row],[Facility]], 'LAB PRICES'!$C$1:$F$1, 0))</f>
        <v>6</v>
      </c>
      <c r="L244">
        <f>_xlfn.XLOOKUP(
    tblLabs[[#This Row],[Code]],
    'LAB PRICES'!$A$2:$A$12,
    'LAB PRICES'!$G$2:$G$12
)</f>
        <v>23</v>
      </c>
    </row>
    <row r="245" spans="1:12" x14ac:dyDescent="0.25">
      <c r="A245" t="s">
        <v>476</v>
      </c>
      <c r="B245" t="s">
        <v>477</v>
      </c>
      <c r="C245">
        <v>12</v>
      </c>
      <c r="D245" t="s">
        <v>502</v>
      </c>
      <c r="E245" t="s">
        <v>1878</v>
      </c>
      <c r="F245" t="s">
        <v>1889</v>
      </c>
      <c r="G245" s="7">
        <v>45541</v>
      </c>
      <c r="H245" t="s">
        <v>7</v>
      </c>
      <c r="I245" t="s">
        <v>478</v>
      </c>
      <c r="J245" t="s">
        <v>8</v>
      </c>
      <c r="K245">
        <f>INDEX('LAB PRICES'!$C$2:$F$12, MATCH(tblLabs[[#This Row],[Code]], 'LAB PRICES'!$A$2:$A$12, 0), MATCH(tblLabs[[#This Row],[Facility]], 'LAB PRICES'!$C$1:$F$1, 0))</f>
        <v>6</v>
      </c>
      <c r="L245">
        <f>_xlfn.XLOOKUP(
    tblLabs[[#This Row],[Code]],
    'LAB PRICES'!$A$2:$A$12,
    'LAB PRICES'!$G$2:$G$12
)</f>
        <v>23</v>
      </c>
    </row>
    <row r="246" spans="1:12" x14ac:dyDescent="0.25">
      <c r="A246" t="s">
        <v>476</v>
      </c>
      <c r="B246" t="s">
        <v>477</v>
      </c>
      <c r="C246">
        <v>14</v>
      </c>
      <c r="D246" t="s">
        <v>501</v>
      </c>
      <c r="E246" t="s">
        <v>1878</v>
      </c>
      <c r="F246" t="s">
        <v>1889</v>
      </c>
      <c r="G246" s="7">
        <v>45541</v>
      </c>
      <c r="H246" t="s">
        <v>7</v>
      </c>
      <c r="I246" t="s">
        <v>478</v>
      </c>
      <c r="J246" t="s">
        <v>8</v>
      </c>
      <c r="K246">
        <f>INDEX('LAB PRICES'!$C$2:$F$12, MATCH(tblLabs[[#This Row],[Code]], 'LAB PRICES'!$A$2:$A$12, 0), MATCH(tblLabs[[#This Row],[Facility]], 'LAB PRICES'!$C$1:$F$1, 0))</f>
        <v>6</v>
      </c>
      <c r="L246">
        <f>_xlfn.XLOOKUP(
    tblLabs[[#This Row],[Code]],
    'LAB PRICES'!$A$2:$A$12,
    'LAB PRICES'!$G$2:$G$12
)</f>
        <v>23</v>
      </c>
    </row>
    <row r="247" spans="1:12" x14ac:dyDescent="0.25">
      <c r="A247" t="s">
        <v>476</v>
      </c>
      <c r="B247" t="s">
        <v>477</v>
      </c>
      <c r="C247">
        <v>12</v>
      </c>
      <c r="D247" t="s">
        <v>503</v>
      </c>
      <c r="E247" t="s">
        <v>237</v>
      </c>
      <c r="F247" t="s">
        <v>1890</v>
      </c>
      <c r="G247" s="7">
        <v>45542</v>
      </c>
      <c r="H247" t="s">
        <v>7</v>
      </c>
      <c r="I247" t="s">
        <v>478</v>
      </c>
      <c r="J247" t="s">
        <v>8</v>
      </c>
      <c r="K247">
        <f>INDEX('LAB PRICES'!$C$2:$F$12, MATCH(tblLabs[[#This Row],[Code]], 'LAB PRICES'!$A$2:$A$12, 0), MATCH(tblLabs[[#This Row],[Facility]], 'LAB PRICES'!$C$1:$F$1, 0))</f>
        <v>6</v>
      </c>
      <c r="L247">
        <f>_xlfn.XLOOKUP(
    tblLabs[[#This Row],[Code]],
    'LAB PRICES'!$A$2:$A$12,
    'LAB PRICES'!$G$2:$G$12
)</f>
        <v>27</v>
      </c>
    </row>
    <row r="248" spans="1:12" x14ac:dyDescent="0.25">
      <c r="A248" t="s">
        <v>476</v>
      </c>
      <c r="B248" t="s">
        <v>477</v>
      </c>
      <c r="C248">
        <v>12</v>
      </c>
      <c r="D248" t="s">
        <v>508</v>
      </c>
      <c r="E248" t="s">
        <v>237</v>
      </c>
      <c r="F248" t="s">
        <v>1890</v>
      </c>
      <c r="G248" s="7">
        <v>45549</v>
      </c>
      <c r="H248" t="s">
        <v>7</v>
      </c>
      <c r="I248" t="s">
        <v>506</v>
      </c>
      <c r="J248" t="s">
        <v>8</v>
      </c>
      <c r="K248">
        <f>INDEX('LAB PRICES'!$C$2:$F$12, MATCH(tblLabs[[#This Row],[Code]], 'LAB PRICES'!$A$2:$A$12, 0), MATCH(tblLabs[[#This Row],[Facility]], 'LAB PRICES'!$C$1:$F$1, 0))</f>
        <v>6</v>
      </c>
      <c r="L248">
        <f>_xlfn.XLOOKUP(
    tblLabs[[#This Row],[Code]],
    'LAB PRICES'!$A$2:$A$12,
    'LAB PRICES'!$G$2:$G$12
)</f>
        <v>27</v>
      </c>
    </row>
    <row r="249" spans="1:12" x14ac:dyDescent="0.25">
      <c r="A249" t="s">
        <v>476</v>
      </c>
      <c r="B249" t="s">
        <v>477</v>
      </c>
      <c r="C249">
        <v>12</v>
      </c>
      <c r="D249" t="s">
        <v>505</v>
      </c>
      <c r="E249" t="s">
        <v>1878</v>
      </c>
      <c r="F249" t="s">
        <v>1889</v>
      </c>
      <c r="G249" s="7">
        <v>45548</v>
      </c>
      <c r="H249" t="s">
        <v>7</v>
      </c>
      <c r="I249" t="s">
        <v>506</v>
      </c>
      <c r="J249" t="s">
        <v>8</v>
      </c>
      <c r="K249">
        <f>INDEX('LAB PRICES'!$C$2:$F$12, MATCH(tblLabs[[#This Row],[Code]], 'LAB PRICES'!$A$2:$A$12, 0), MATCH(tblLabs[[#This Row],[Facility]], 'LAB PRICES'!$C$1:$F$1, 0))</f>
        <v>6</v>
      </c>
      <c r="L249">
        <f>_xlfn.XLOOKUP(
    tblLabs[[#This Row],[Code]],
    'LAB PRICES'!$A$2:$A$12,
    'LAB PRICES'!$G$2:$G$12
)</f>
        <v>23</v>
      </c>
    </row>
    <row r="250" spans="1:12" x14ac:dyDescent="0.25">
      <c r="A250" t="s">
        <v>476</v>
      </c>
      <c r="B250" t="s">
        <v>477</v>
      </c>
      <c r="C250">
        <v>14</v>
      </c>
      <c r="D250" t="s">
        <v>507</v>
      </c>
      <c r="E250" t="s">
        <v>1878</v>
      </c>
      <c r="F250" t="s">
        <v>1889</v>
      </c>
      <c r="G250" s="7">
        <v>45548</v>
      </c>
      <c r="H250" t="s">
        <v>7</v>
      </c>
      <c r="I250" t="s">
        <v>506</v>
      </c>
      <c r="J250" t="s">
        <v>8</v>
      </c>
      <c r="K250">
        <f>INDEX('LAB PRICES'!$C$2:$F$12, MATCH(tblLabs[[#This Row],[Code]], 'LAB PRICES'!$A$2:$A$12, 0), MATCH(tblLabs[[#This Row],[Facility]], 'LAB PRICES'!$C$1:$F$1, 0))</f>
        <v>6</v>
      </c>
      <c r="L250">
        <f>_xlfn.XLOOKUP(
    tblLabs[[#This Row],[Code]],
    'LAB PRICES'!$A$2:$A$12,
    'LAB PRICES'!$G$2:$G$12
)</f>
        <v>23</v>
      </c>
    </row>
    <row r="251" spans="1:12" x14ac:dyDescent="0.25">
      <c r="A251" t="s">
        <v>476</v>
      </c>
      <c r="B251" t="s">
        <v>477</v>
      </c>
      <c r="C251">
        <v>5</v>
      </c>
      <c r="D251" t="s">
        <v>513</v>
      </c>
      <c r="E251" t="s">
        <v>14</v>
      </c>
      <c r="F251" t="s">
        <v>1891</v>
      </c>
      <c r="G251" s="7">
        <v>45570</v>
      </c>
      <c r="H251" t="s">
        <v>142</v>
      </c>
      <c r="I251" t="s">
        <v>480</v>
      </c>
      <c r="J251" t="s">
        <v>8</v>
      </c>
      <c r="K251">
        <f>INDEX('LAB PRICES'!$C$2:$F$12, MATCH(tblLabs[[#This Row],[Code]], 'LAB PRICES'!$A$2:$A$12, 0), MATCH(tblLabs[[#This Row],[Facility]], 'LAB PRICES'!$C$1:$F$1, 0))</f>
        <v>40</v>
      </c>
      <c r="L251">
        <f>_xlfn.XLOOKUP(
    tblLabs[[#This Row],[Code]],
    'LAB PRICES'!$A$2:$A$12,
    'LAB PRICES'!$G$2:$G$12
)</f>
        <v>100</v>
      </c>
    </row>
    <row r="252" spans="1:12" x14ac:dyDescent="0.25">
      <c r="A252" t="s">
        <v>476</v>
      </c>
      <c r="B252" t="s">
        <v>477</v>
      </c>
      <c r="C252">
        <v>5</v>
      </c>
      <c r="D252" t="s">
        <v>518</v>
      </c>
      <c r="E252" t="s">
        <v>14</v>
      </c>
      <c r="F252" t="s">
        <v>1891</v>
      </c>
      <c r="G252" s="7">
        <v>45577</v>
      </c>
      <c r="H252" t="s">
        <v>142</v>
      </c>
      <c r="I252" t="s">
        <v>515</v>
      </c>
      <c r="J252" t="s">
        <v>8</v>
      </c>
      <c r="K252">
        <f>INDEX('LAB PRICES'!$C$2:$F$12, MATCH(tblLabs[[#This Row],[Code]], 'LAB PRICES'!$A$2:$A$12, 0), MATCH(tblLabs[[#This Row],[Facility]], 'LAB PRICES'!$C$1:$F$1, 0))</f>
        <v>40</v>
      </c>
      <c r="L252">
        <f>_xlfn.XLOOKUP(
    tblLabs[[#This Row],[Code]],
    'LAB PRICES'!$A$2:$A$12,
    'LAB PRICES'!$G$2:$G$12
)</f>
        <v>100</v>
      </c>
    </row>
    <row r="253" spans="1:12" x14ac:dyDescent="0.25">
      <c r="A253" t="s">
        <v>476</v>
      </c>
      <c r="B253" t="s">
        <v>477</v>
      </c>
      <c r="C253">
        <v>5</v>
      </c>
      <c r="D253" t="s">
        <v>522</v>
      </c>
      <c r="E253" t="s">
        <v>14</v>
      </c>
      <c r="F253" t="s">
        <v>1891</v>
      </c>
      <c r="G253" s="7">
        <v>45584</v>
      </c>
      <c r="H253" t="s">
        <v>71</v>
      </c>
      <c r="I253" t="s">
        <v>482</v>
      </c>
      <c r="J253" t="s">
        <v>8</v>
      </c>
      <c r="K253">
        <f>INDEX('LAB PRICES'!$C$2:$F$12, MATCH(tblLabs[[#This Row],[Code]], 'LAB PRICES'!$A$2:$A$12, 0), MATCH(tblLabs[[#This Row],[Facility]], 'LAB PRICES'!$C$1:$F$1, 0))</f>
        <v>40</v>
      </c>
      <c r="L253">
        <f>_xlfn.XLOOKUP(
    tblLabs[[#This Row],[Code]],
    'LAB PRICES'!$A$2:$A$12,
    'LAB PRICES'!$G$2:$G$12
)</f>
        <v>100</v>
      </c>
    </row>
    <row r="254" spans="1:12" x14ac:dyDescent="0.25">
      <c r="A254" t="s">
        <v>476</v>
      </c>
      <c r="B254" t="s">
        <v>477</v>
      </c>
      <c r="C254">
        <v>5</v>
      </c>
      <c r="D254" t="s">
        <v>526</v>
      </c>
      <c r="E254" t="s">
        <v>14</v>
      </c>
      <c r="F254" t="s">
        <v>1891</v>
      </c>
      <c r="G254" s="7">
        <v>45591</v>
      </c>
      <c r="H254" t="s">
        <v>71</v>
      </c>
      <c r="I254" t="s">
        <v>483</v>
      </c>
      <c r="J254" t="s">
        <v>8</v>
      </c>
      <c r="K254">
        <f>INDEX('LAB PRICES'!$C$2:$F$12, MATCH(tblLabs[[#This Row],[Code]], 'LAB PRICES'!$A$2:$A$12, 0), MATCH(tblLabs[[#This Row],[Facility]], 'LAB PRICES'!$C$1:$F$1, 0))</f>
        <v>40</v>
      </c>
      <c r="L254">
        <f>_xlfn.XLOOKUP(
    tblLabs[[#This Row],[Code]],
    'LAB PRICES'!$A$2:$A$12,
    'LAB PRICES'!$G$2:$G$12
)</f>
        <v>100</v>
      </c>
    </row>
    <row r="255" spans="1:12" x14ac:dyDescent="0.25">
      <c r="A255" t="s">
        <v>476</v>
      </c>
      <c r="B255" t="s">
        <v>477</v>
      </c>
      <c r="C255">
        <v>20</v>
      </c>
      <c r="D255" t="s">
        <v>511</v>
      </c>
      <c r="E255" t="s">
        <v>1878</v>
      </c>
      <c r="F255" t="s">
        <v>1889</v>
      </c>
      <c r="G255" s="7">
        <v>45569</v>
      </c>
      <c r="H255" t="s">
        <v>142</v>
      </c>
      <c r="I255" t="s">
        <v>480</v>
      </c>
      <c r="J255" t="s">
        <v>8</v>
      </c>
      <c r="K255">
        <f>INDEX('LAB PRICES'!$C$2:$F$12, MATCH(tblLabs[[#This Row],[Code]], 'LAB PRICES'!$A$2:$A$12, 0), MATCH(tblLabs[[#This Row],[Facility]], 'LAB PRICES'!$C$1:$F$1, 0))</f>
        <v>6</v>
      </c>
      <c r="L255">
        <f>_xlfn.XLOOKUP(
    tblLabs[[#This Row],[Code]],
    'LAB PRICES'!$A$2:$A$12,
    'LAB PRICES'!$G$2:$G$12
)</f>
        <v>23</v>
      </c>
    </row>
    <row r="256" spans="1:12" x14ac:dyDescent="0.25">
      <c r="A256" t="s">
        <v>476</v>
      </c>
      <c r="B256" t="s">
        <v>477</v>
      </c>
      <c r="C256">
        <v>12</v>
      </c>
      <c r="D256" t="s">
        <v>512</v>
      </c>
      <c r="E256" t="s">
        <v>237</v>
      </c>
      <c r="F256" t="s">
        <v>1890</v>
      </c>
      <c r="G256" s="7">
        <v>45570</v>
      </c>
      <c r="H256" t="s">
        <v>142</v>
      </c>
      <c r="I256" t="s">
        <v>480</v>
      </c>
      <c r="J256" t="s">
        <v>8</v>
      </c>
      <c r="K256">
        <f>INDEX('LAB PRICES'!$C$2:$F$12, MATCH(tblLabs[[#This Row],[Code]], 'LAB PRICES'!$A$2:$A$12, 0), MATCH(tblLabs[[#This Row],[Facility]], 'LAB PRICES'!$C$1:$F$1, 0))</f>
        <v>6</v>
      </c>
      <c r="L256">
        <f>_xlfn.XLOOKUP(
    tblLabs[[#This Row],[Code]],
    'LAB PRICES'!$A$2:$A$12,
    'LAB PRICES'!$G$2:$G$12
)</f>
        <v>27</v>
      </c>
    </row>
    <row r="257" spans="1:12" x14ac:dyDescent="0.25">
      <c r="A257" t="s">
        <v>476</v>
      </c>
      <c r="B257" t="s">
        <v>477</v>
      </c>
      <c r="C257">
        <v>12</v>
      </c>
      <c r="D257" t="s">
        <v>510</v>
      </c>
      <c r="E257" t="s">
        <v>1878</v>
      </c>
      <c r="F257" t="s">
        <v>1889</v>
      </c>
      <c r="G257" s="7">
        <v>45569</v>
      </c>
      <c r="H257" t="s">
        <v>142</v>
      </c>
      <c r="I257" t="s">
        <v>480</v>
      </c>
      <c r="J257" t="s">
        <v>8</v>
      </c>
      <c r="K257">
        <f>INDEX('LAB PRICES'!$C$2:$F$12, MATCH(tblLabs[[#This Row],[Code]], 'LAB PRICES'!$A$2:$A$12, 0), MATCH(tblLabs[[#This Row],[Facility]], 'LAB PRICES'!$C$1:$F$1, 0))</f>
        <v>6</v>
      </c>
      <c r="L257">
        <f>_xlfn.XLOOKUP(
    tblLabs[[#This Row],[Code]],
    'LAB PRICES'!$A$2:$A$12,
    'LAB PRICES'!$G$2:$G$12
)</f>
        <v>23</v>
      </c>
    </row>
    <row r="258" spans="1:12" x14ac:dyDescent="0.25">
      <c r="A258" t="s">
        <v>476</v>
      </c>
      <c r="B258" t="s">
        <v>477</v>
      </c>
      <c r="C258">
        <v>12</v>
      </c>
      <c r="D258" t="s">
        <v>517</v>
      </c>
      <c r="E258" t="s">
        <v>237</v>
      </c>
      <c r="F258" t="s">
        <v>1890</v>
      </c>
      <c r="G258" s="7">
        <v>45577</v>
      </c>
      <c r="H258" t="s">
        <v>142</v>
      </c>
      <c r="I258" t="s">
        <v>515</v>
      </c>
      <c r="J258" t="s">
        <v>8</v>
      </c>
      <c r="K258">
        <f>INDEX('LAB PRICES'!$C$2:$F$12, MATCH(tblLabs[[#This Row],[Code]], 'LAB PRICES'!$A$2:$A$12, 0), MATCH(tblLabs[[#This Row],[Facility]], 'LAB PRICES'!$C$1:$F$1, 0))</f>
        <v>6</v>
      </c>
      <c r="L258">
        <f>_xlfn.XLOOKUP(
    tblLabs[[#This Row],[Code]],
    'LAB PRICES'!$A$2:$A$12,
    'LAB PRICES'!$G$2:$G$12
)</f>
        <v>27</v>
      </c>
    </row>
    <row r="259" spans="1:12" x14ac:dyDescent="0.25">
      <c r="A259" t="s">
        <v>476</v>
      </c>
      <c r="B259" t="s">
        <v>477</v>
      </c>
      <c r="C259">
        <v>20</v>
      </c>
      <c r="D259" t="s">
        <v>516</v>
      </c>
      <c r="E259" t="s">
        <v>1878</v>
      </c>
      <c r="F259" t="s">
        <v>1889</v>
      </c>
      <c r="G259" s="7">
        <v>45576</v>
      </c>
      <c r="H259" t="s">
        <v>142</v>
      </c>
      <c r="I259" t="s">
        <v>515</v>
      </c>
      <c r="J259" t="s">
        <v>8</v>
      </c>
      <c r="K259">
        <f>INDEX('LAB PRICES'!$C$2:$F$12, MATCH(tblLabs[[#This Row],[Code]], 'LAB PRICES'!$A$2:$A$12, 0), MATCH(tblLabs[[#This Row],[Facility]], 'LAB PRICES'!$C$1:$F$1, 0))</f>
        <v>6</v>
      </c>
      <c r="L259">
        <f>_xlfn.XLOOKUP(
    tblLabs[[#This Row],[Code]],
    'LAB PRICES'!$A$2:$A$12,
    'LAB PRICES'!$G$2:$G$12
)</f>
        <v>23</v>
      </c>
    </row>
    <row r="260" spans="1:12" x14ac:dyDescent="0.25">
      <c r="A260" t="s">
        <v>476</v>
      </c>
      <c r="B260" t="s">
        <v>477</v>
      </c>
      <c r="C260">
        <v>12</v>
      </c>
      <c r="D260" t="s">
        <v>514</v>
      </c>
      <c r="E260" t="s">
        <v>1878</v>
      </c>
      <c r="F260" t="s">
        <v>1889</v>
      </c>
      <c r="G260" s="7">
        <v>45576</v>
      </c>
      <c r="H260" t="s">
        <v>142</v>
      </c>
      <c r="I260" t="s">
        <v>515</v>
      </c>
      <c r="J260" t="s">
        <v>8</v>
      </c>
      <c r="K260">
        <f>INDEX('LAB PRICES'!$C$2:$F$12, MATCH(tblLabs[[#This Row],[Code]], 'LAB PRICES'!$A$2:$A$12, 0), MATCH(tblLabs[[#This Row],[Facility]], 'LAB PRICES'!$C$1:$F$1, 0))</f>
        <v>6</v>
      </c>
      <c r="L260">
        <f>_xlfn.XLOOKUP(
    tblLabs[[#This Row],[Code]],
    'LAB PRICES'!$A$2:$A$12,
    'LAB PRICES'!$G$2:$G$12
)</f>
        <v>23</v>
      </c>
    </row>
    <row r="261" spans="1:12" x14ac:dyDescent="0.25">
      <c r="A261" t="s">
        <v>476</v>
      </c>
      <c r="B261" t="s">
        <v>477</v>
      </c>
      <c r="C261">
        <v>8</v>
      </c>
      <c r="D261" t="s">
        <v>520</v>
      </c>
      <c r="E261" t="s">
        <v>1878</v>
      </c>
      <c r="F261" t="s">
        <v>1889</v>
      </c>
      <c r="G261" s="7">
        <v>45583</v>
      </c>
      <c r="H261" t="s">
        <v>71</v>
      </c>
      <c r="I261" t="s">
        <v>482</v>
      </c>
      <c r="J261" t="s">
        <v>8</v>
      </c>
      <c r="K261">
        <f>INDEX('LAB PRICES'!$C$2:$F$12, MATCH(tblLabs[[#This Row],[Code]], 'LAB PRICES'!$A$2:$A$12, 0), MATCH(tblLabs[[#This Row],[Facility]], 'LAB PRICES'!$C$1:$F$1, 0))</f>
        <v>6</v>
      </c>
      <c r="L261">
        <f>_xlfn.XLOOKUP(
    tblLabs[[#This Row],[Code]],
    'LAB PRICES'!$A$2:$A$12,
    'LAB PRICES'!$G$2:$G$12
)</f>
        <v>23</v>
      </c>
    </row>
    <row r="262" spans="1:12" x14ac:dyDescent="0.25">
      <c r="A262" t="s">
        <v>476</v>
      </c>
      <c r="B262" t="s">
        <v>477</v>
      </c>
      <c r="C262">
        <v>12</v>
      </c>
      <c r="D262" t="s">
        <v>521</v>
      </c>
      <c r="E262" t="s">
        <v>237</v>
      </c>
      <c r="F262" t="s">
        <v>1890</v>
      </c>
      <c r="G262" s="7">
        <v>45584</v>
      </c>
      <c r="H262" t="s">
        <v>71</v>
      </c>
      <c r="I262" t="s">
        <v>482</v>
      </c>
      <c r="J262" t="s">
        <v>8</v>
      </c>
      <c r="K262">
        <f>INDEX('LAB PRICES'!$C$2:$F$12, MATCH(tblLabs[[#This Row],[Code]], 'LAB PRICES'!$A$2:$A$12, 0), MATCH(tblLabs[[#This Row],[Facility]], 'LAB PRICES'!$C$1:$F$1, 0))</f>
        <v>6</v>
      </c>
      <c r="L262">
        <f>_xlfn.XLOOKUP(
    tblLabs[[#This Row],[Code]],
    'LAB PRICES'!$A$2:$A$12,
    'LAB PRICES'!$G$2:$G$12
)</f>
        <v>27</v>
      </c>
    </row>
    <row r="263" spans="1:12" x14ac:dyDescent="0.25">
      <c r="A263" t="s">
        <v>476</v>
      </c>
      <c r="B263" t="s">
        <v>477</v>
      </c>
      <c r="C263">
        <v>12</v>
      </c>
      <c r="D263" t="s">
        <v>519</v>
      </c>
      <c r="E263" t="s">
        <v>1878</v>
      </c>
      <c r="F263" t="s">
        <v>1889</v>
      </c>
      <c r="G263" s="7">
        <v>45583</v>
      </c>
      <c r="H263" t="s">
        <v>71</v>
      </c>
      <c r="I263" t="s">
        <v>482</v>
      </c>
      <c r="J263" t="s">
        <v>8</v>
      </c>
      <c r="K263">
        <f>INDEX('LAB PRICES'!$C$2:$F$12, MATCH(tblLabs[[#This Row],[Code]], 'LAB PRICES'!$A$2:$A$12, 0), MATCH(tblLabs[[#This Row],[Facility]], 'LAB PRICES'!$C$1:$F$1, 0))</f>
        <v>6</v>
      </c>
      <c r="L263">
        <f>_xlfn.XLOOKUP(
    tblLabs[[#This Row],[Code]],
    'LAB PRICES'!$A$2:$A$12,
    'LAB PRICES'!$G$2:$G$12
)</f>
        <v>23</v>
      </c>
    </row>
    <row r="264" spans="1:12" x14ac:dyDescent="0.25">
      <c r="A264" t="s">
        <v>476</v>
      </c>
      <c r="B264" t="s">
        <v>477</v>
      </c>
      <c r="C264">
        <v>12</v>
      </c>
      <c r="D264" t="s">
        <v>525</v>
      </c>
      <c r="E264" t="s">
        <v>237</v>
      </c>
      <c r="F264" t="s">
        <v>1890</v>
      </c>
      <c r="G264" s="7">
        <v>45591</v>
      </c>
      <c r="H264" t="s">
        <v>71</v>
      </c>
      <c r="I264" t="s">
        <v>483</v>
      </c>
      <c r="J264" t="s">
        <v>8</v>
      </c>
      <c r="K264">
        <f>INDEX('LAB PRICES'!$C$2:$F$12, MATCH(tblLabs[[#This Row],[Code]], 'LAB PRICES'!$A$2:$A$12, 0), MATCH(tblLabs[[#This Row],[Facility]], 'LAB PRICES'!$C$1:$F$1, 0))</f>
        <v>6</v>
      </c>
      <c r="L264">
        <f>_xlfn.XLOOKUP(
    tblLabs[[#This Row],[Code]],
    'LAB PRICES'!$A$2:$A$12,
    'LAB PRICES'!$G$2:$G$12
)</f>
        <v>27</v>
      </c>
    </row>
    <row r="265" spans="1:12" x14ac:dyDescent="0.25">
      <c r="A265" t="s">
        <v>476</v>
      </c>
      <c r="B265" t="s">
        <v>477</v>
      </c>
      <c r="C265">
        <v>12</v>
      </c>
      <c r="D265" t="s">
        <v>523</v>
      </c>
      <c r="E265" t="s">
        <v>1878</v>
      </c>
      <c r="F265" t="s">
        <v>1889</v>
      </c>
      <c r="G265" s="7">
        <v>45590</v>
      </c>
      <c r="H265" t="s">
        <v>71</v>
      </c>
      <c r="I265" t="s">
        <v>483</v>
      </c>
      <c r="J265" t="s">
        <v>8</v>
      </c>
      <c r="K265">
        <f>INDEX('LAB PRICES'!$C$2:$F$12, MATCH(tblLabs[[#This Row],[Code]], 'LAB PRICES'!$A$2:$A$12, 0), MATCH(tblLabs[[#This Row],[Facility]], 'LAB PRICES'!$C$1:$F$1, 0))</f>
        <v>6</v>
      </c>
      <c r="L265">
        <f>_xlfn.XLOOKUP(
    tblLabs[[#This Row],[Code]],
    'LAB PRICES'!$A$2:$A$12,
    'LAB PRICES'!$G$2:$G$12
)</f>
        <v>23</v>
      </c>
    </row>
    <row r="266" spans="1:12" x14ac:dyDescent="0.25">
      <c r="A266" t="s">
        <v>476</v>
      </c>
      <c r="B266" t="s">
        <v>477</v>
      </c>
      <c r="C266">
        <v>8</v>
      </c>
      <c r="D266" t="s">
        <v>524</v>
      </c>
      <c r="E266" t="s">
        <v>1878</v>
      </c>
      <c r="F266" t="s">
        <v>1889</v>
      </c>
      <c r="G266" s="7">
        <v>45590</v>
      </c>
      <c r="H266" t="s">
        <v>71</v>
      </c>
      <c r="I266" t="s">
        <v>483</v>
      </c>
      <c r="J266" t="s">
        <v>8</v>
      </c>
      <c r="K266">
        <f>INDEX('LAB PRICES'!$C$2:$F$12, MATCH(tblLabs[[#This Row],[Code]], 'LAB PRICES'!$A$2:$A$12, 0), MATCH(tblLabs[[#This Row],[Facility]], 'LAB PRICES'!$C$1:$F$1, 0))</f>
        <v>6</v>
      </c>
      <c r="L266">
        <f>_xlfn.XLOOKUP(
    tblLabs[[#This Row],[Code]],
    'LAB PRICES'!$A$2:$A$12,
    'LAB PRICES'!$G$2:$G$12
)</f>
        <v>23</v>
      </c>
    </row>
    <row r="267" spans="1:12" x14ac:dyDescent="0.25">
      <c r="A267" t="s">
        <v>476</v>
      </c>
      <c r="B267" t="s">
        <v>477</v>
      </c>
      <c r="C267">
        <v>5</v>
      </c>
      <c r="D267" t="s">
        <v>534</v>
      </c>
      <c r="E267" t="s">
        <v>14</v>
      </c>
      <c r="F267" t="s">
        <v>1891</v>
      </c>
      <c r="G267" s="7">
        <v>45619</v>
      </c>
      <c r="H267" t="s">
        <v>7</v>
      </c>
      <c r="I267" t="s">
        <v>485</v>
      </c>
      <c r="J267" t="s">
        <v>8</v>
      </c>
      <c r="K267">
        <f>INDEX('LAB PRICES'!$C$2:$F$12, MATCH(tblLabs[[#This Row],[Code]], 'LAB PRICES'!$A$2:$A$12, 0), MATCH(tblLabs[[#This Row],[Facility]], 'LAB PRICES'!$C$1:$F$1, 0))</f>
        <v>40</v>
      </c>
      <c r="L267">
        <f>_xlfn.XLOOKUP(
    tblLabs[[#This Row],[Code]],
    'LAB PRICES'!$A$2:$A$12,
    'LAB PRICES'!$G$2:$G$12
)</f>
        <v>100</v>
      </c>
    </row>
    <row r="268" spans="1:12" x14ac:dyDescent="0.25">
      <c r="A268" t="s">
        <v>476</v>
      </c>
      <c r="B268" t="s">
        <v>477</v>
      </c>
      <c r="C268">
        <v>12</v>
      </c>
      <c r="D268" t="s">
        <v>527</v>
      </c>
      <c r="E268" t="s">
        <v>1878</v>
      </c>
      <c r="F268" t="s">
        <v>1889</v>
      </c>
      <c r="G268" s="7">
        <v>45611</v>
      </c>
      <c r="H268" t="s">
        <v>136</v>
      </c>
      <c r="I268" t="s">
        <v>528</v>
      </c>
      <c r="J268" t="s">
        <v>26</v>
      </c>
      <c r="K268">
        <f>INDEX('LAB PRICES'!$C$2:$F$12, MATCH(tblLabs[[#This Row],[Code]], 'LAB PRICES'!$A$2:$A$12, 0), MATCH(tblLabs[[#This Row],[Facility]], 'LAB PRICES'!$C$1:$F$1, 0))</f>
        <v>5</v>
      </c>
      <c r="L268">
        <f>_xlfn.XLOOKUP(
    tblLabs[[#This Row],[Code]],
    'LAB PRICES'!$A$2:$A$12,
    'LAB PRICES'!$G$2:$G$12
)</f>
        <v>23</v>
      </c>
    </row>
    <row r="269" spans="1:12" x14ac:dyDescent="0.25">
      <c r="A269" t="s">
        <v>476</v>
      </c>
      <c r="B269" t="s">
        <v>477</v>
      </c>
      <c r="C269">
        <v>18</v>
      </c>
      <c r="D269" t="s">
        <v>529</v>
      </c>
      <c r="E269" t="s">
        <v>1878</v>
      </c>
      <c r="F269" t="s">
        <v>1889</v>
      </c>
      <c r="G269" s="7">
        <v>45611</v>
      </c>
      <c r="H269" t="s">
        <v>136</v>
      </c>
      <c r="I269" t="s">
        <v>528</v>
      </c>
      <c r="J269" t="s">
        <v>26</v>
      </c>
      <c r="K269">
        <f>INDEX('LAB PRICES'!$C$2:$F$12, MATCH(tblLabs[[#This Row],[Code]], 'LAB PRICES'!$A$2:$A$12, 0), MATCH(tblLabs[[#This Row],[Facility]], 'LAB PRICES'!$C$1:$F$1, 0))</f>
        <v>5</v>
      </c>
      <c r="L269">
        <f>_xlfn.XLOOKUP(
    tblLabs[[#This Row],[Code]],
    'LAB PRICES'!$A$2:$A$12,
    'LAB PRICES'!$G$2:$G$12
)</f>
        <v>23</v>
      </c>
    </row>
    <row r="270" spans="1:12" x14ac:dyDescent="0.25">
      <c r="A270" t="s">
        <v>476</v>
      </c>
      <c r="B270" t="s">
        <v>477</v>
      </c>
      <c r="C270">
        <v>12</v>
      </c>
      <c r="D270" t="s">
        <v>530</v>
      </c>
      <c r="E270" t="s">
        <v>237</v>
      </c>
      <c r="F270" t="s">
        <v>1890</v>
      </c>
      <c r="G270" s="7">
        <v>45612</v>
      </c>
      <c r="H270" t="s">
        <v>136</v>
      </c>
      <c r="I270" t="s">
        <v>528</v>
      </c>
      <c r="J270" t="s">
        <v>26</v>
      </c>
      <c r="K270">
        <f>INDEX('LAB PRICES'!$C$2:$F$12, MATCH(tblLabs[[#This Row],[Code]], 'LAB PRICES'!$A$2:$A$12, 0), MATCH(tblLabs[[#This Row],[Facility]], 'LAB PRICES'!$C$1:$F$1, 0))</f>
        <v>5</v>
      </c>
      <c r="L270">
        <f>_xlfn.XLOOKUP(
    tblLabs[[#This Row],[Code]],
    'LAB PRICES'!$A$2:$A$12,
    'LAB PRICES'!$G$2:$G$12
)</f>
        <v>27</v>
      </c>
    </row>
    <row r="271" spans="1:12" x14ac:dyDescent="0.25">
      <c r="A271" t="s">
        <v>476</v>
      </c>
      <c r="B271" t="s">
        <v>477</v>
      </c>
      <c r="C271">
        <v>12</v>
      </c>
      <c r="D271" t="s">
        <v>531</v>
      </c>
      <c r="E271" t="s">
        <v>1878</v>
      </c>
      <c r="F271" t="s">
        <v>1889</v>
      </c>
      <c r="G271" s="7">
        <v>45618</v>
      </c>
      <c r="H271" t="s">
        <v>7</v>
      </c>
      <c r="I271" t="s">
        <v>485</v>
      </c>
      <c r="J271" t="s">
        <v>8</v>
      </c>
      <c r="K271">
        <f>INDEX('LAB PRICES'!$C$2:$F$12, MATCH(tblLabs[[#This Row],[Code]], 'LAB PRICES'!$A$2:$A$12, 0), MATCH(tblLabs[[#This Row],[Facility]], 'LAB PRICES'!$C$1:$F$1, 0))</f>
        <v>6</v>
      </c>
      <c r="L271">
        <f>_xlfn.XLOOKUP(
    tblLabs[[#This Row],[Code]],
    'LAB PRICES'!$A$2:$A$12,
    'LAB PRICES'!$G$2:$G$12
)</f>
        <v>23</v>
      </c>
    </row>
    <row r="272" spans="1:12" x14ac:dyDescent="0.25">
      <c r="A272" t="s">
        <v>476</v>
      </c>
      <c r="B272" t="s">
        <v>477</v>
      </c>
      <c r="C272">
        <v>12</v>
      </c>
      <c r="D272" t="s">
        <v>533</v>
      </c>
      <c r="E272" t="s">
        <v>237</v>
      </c>
      <c r="F272" t="s">
        <v>1890</v>
      </c>
      <c r="G272" s="7">
        <v>45619</v>
      </c>
      <c r="H272" t="s">
        <v>7</v>
      </c>
      <c r="I272" t="s">
        <v>485</v>
      </c>
      <c r="J272" t="s">
        <v>8</v>
      </c>
      <c r="K272">
        <f>INDEX('LAB PRICES'!$C$2:$F$12, MATCH(tblLabs[[#This Row],[Code]], 'LAB PRICES'!$A$2:$A$12, 0), MATCH(tblLabs[[#This Row],[Facility]], 'LAB PRICES'!$C$1:$F$1, 0))</f>
        <v>6</v>
      </c>
      <c r="L272">
        <f>_xlfn.XLOOKUP(
    tblLabs[[#This Row],[Code]],
    'LAB PRICES'!$A$2:$A$12,
    'LAB PRICES'!$G$2:$G$12
)</f>
        <v>27</v>
      </c>
    </row>
    <row r="273" spans="1:12" x14ac:dyDescent="0.25">
      <c r="A273" t="s">
        <v>476</v>
      </c>
      <c r="B273" t="s">
        <v>477</v>
      </c>
      <c r="C273">
        <v>14</v>
      </c>
      <c r="D273" t="s">
        <v>532</v>
      </c>
      <c r="E273" t="s">
        <v>1878</v>
      </c>
      <c r="F273" t="s">
        <v>1889</v>
      </c>
      <c r="G273" s="7">
        <v>45618</v>
      </c>
      <c r="H273" t="s">
        <v>7</v>
      </c>
      <c r="I273" t="s">
        <v>485</v>
      </c>
      <c r="J273" t="s">
        <v>8</v>
      </c>
      <c r="K273">
        <f>INDEX('LAB PRICES'!$C$2:$F$12, MATCH(tblLabs[[#This Row],[Code]], 'LAB PRICES'!$A$2:$A$12, 0), MATCH(tblLabs[[#This Row],[Facility]], 'LAB PRICES'!$C$1:$F$1, 0))</f>
        <v>6</v>
      </c>
      <c r="L273">
        <f>_xlfn.XLOOKUP(
    tblLabs[[#This Row],[Code]],
    'LAB PRICES'!$A$2:$A$12,
    'LAB PRICES'!$G$2:$G$12
)</f>
        <v>23</v>
      </c>
    </row>
    <row r="274" spans="1:12" x14ac:dyDescent="0.25">
      <c r="A274" t="s">
        <v>476</v>
      </c>
      <c r="B274" t="s">
        <v>477</v>
      </c>
      <c r="C274">
        <v>5</v>
      </c>
      <c r="D274" t="s">
        <v>540</v>
      </c>
      <c r="E274" t="s">
        <v>14</v>
      </c>
      <c r="F274" t="s">
        <v>1891</v>
      </c>
      <c r="G274" s="7">
        <v>45633</v>
      </c>
      <c r="H274" t="s">
        <v>71</v>
      </c>
      <c r="I274" t="s">
        <v>485</v>
      </c>
      <c r="J274" t="s">
        <v>8</v>
      </c>
      <c r="K274">
        <f>INDEX('LAB PRICES'!$C$2:$F$12, MATCH(tblLabs[[#This Row],[Code]], 'LAB PRICES'!$A$2:$A$12, 0), MATCH(tblLabs[[#This Row],[Facility]], 'LAB PRICES'!$C$1:$F$1, 0))</f>
        <v>40</v>
      </c>
      <c r="L274">
        <f>_xlfn.XLOOKUP(
    tblLabs[[#This Row],[Code]],
    'LAB PRICES'!$A$2:$A$12,
    'LAB PRICES'!$G$2:$G$12
)</f>
        <v>100</v>
      </c>
    </row>
    <row r="275" spans="1:12" x14ac:dyDescent="0.25">
      <c r="A275" t="s">
        <v>476</v>
      </c>
      <c r="B275" t="s">
        <v>477</v>
      </c>
      <c r="C275">
        <v>5</v>
      </c>
      <c r="D275" t="s">
        <v>547</v>
      </c>
      <c r="E275" t="s">
        <v>14</v>
      </c>
      <c r="F275" t="s">
        <v>1891</v>
      </c>
      <c r="G275" s="7">
        <v>45653</v>
      </c>
      <c r="H275" t="s">
        <v>118</v>
      </c>
      <c r="I275" t="s">
        <v>543</v>
      </c>
      <c r="J275" t="s">
        <v>8</v>
      </c>
      <c r="K275">
        <f>INDEX('LAB PRICES'!$C$2:$F$12, MATCH(tblLabs[[#This Row],[Code]], 'LAB PRICES'!$A$2:$A$12, 0), MATCH(tblLabs[[#This Row],[Facility]], 'LAB PRICES'!$C$1:$F$1, 0))</f>
        <v>40</v>
      </c>
      <c r="L275">
        <f>_xlfn.XLOOKUP(
    tblLabs[[#This Row],[Code]],
    'LAB PRICES'!$A$2:$A$12,
    'LAB PRICES'!$G$2:$G$12
)</f>
        <v>100</v>
      </c>
    </row>
    <row r="276" spans="1:12" x14ac:dyDescent="0.25">
      <c r="A276" t="s">
        <v>476</v>
      </c>
      <c r="B276" t="s">
        <v>477</v>
      </c>
      <c r="C276">
        <v>12</v>
      </c>
      <c r="D276" t="s">
        <v>535</v>
      </c>
      <c r="E276" t="s">
        <v>1878</v>
      </c>
      <c r="F276" t="s">
        <v>1889</v>
      </c>
      <c r="G276" s="7">
        <v>45631</v>
      </c>
      <c r="H276" t="s">
        <v>71</v>
      </c>
      <c r="I276" t="s">
        <v>536</v>
      </c>
      <c r="J276" t="s">
        <v>8</v>
      </c>
      <c r="K276">
        <f>INDEX('LAB PRICES'!$C$2:$F$12, MATCH(tblLabs[[#This Row],[Code]], 'LAB PRICES'!$A$2:$A$12, 0), MATCH(tblLabs[[#This Row],[Facility]], 'LAB PRICES'!$C$1:$F$1, 0))</f>
        <v>6</v>
      </c>
      <c r="L276">
        <f>_xlfn.XLOOKUP(
    tblLabs[[#This Row],[Code]],
    'LAB PRICES'!$A$2:$A$12,
    'LAB PRICES'!$G$2:$G$12
)</f>
        <v>23</v>
      </c>
    </row>
    <row r="277" spans="1:12" x14ac:dyDescent="0.25">
      <c r="A277" t="s">
        <v>476</v>
      </c>
      <c r="B277" t="s">
        <v>477</v>
      </c>
      <c r="C277">
        <v>5</v>
      </c>
      <c r="D277" t="s">
        <v>545</v>
      </c>
      <c r="E277" t="s">
        <v>14</v>
      </c>
      <c r="F277" t="s">
        <v>1891</v>
      </c>
      <c r="G277" s="7">
        <v>45653</v>
      </c>
      <c r="H277" t="s">
        <v>7</v>
      </c>
      <c r="I277" t="s">
        <v>546</v>
      </c>
      <c r="J277" t="s">
        <v>8</v>
      </c>
      <c r="K277">
        <f>INDEX('LAB PRICES'!$C$2:$F$12, MATCH(tblLabs[[#This Row],[Code]], 'LAB PRICES'!$A$2:$A$12, 0), MATCH(tblLabs[[#This Row],[Facility]], 'LAB PRICES'!$C$1:$F$1, 0))</f>
        <v>40</v>
      </c>
      <c r="L277">
        <f>_xlfn.XLOOKUP(
    tblLabs[[#This Row],[Code]],
    'LAB PRICES'!$A$2:$A$12,
    'LAB PRICES'!$G$2:$G$12
)</f>
        <v>100</v>
      </c>
    </row>
    <row r="278" spans="1:12" x14ac:dyDescent="0.25">
      <c r="A278" t="s">
        <v>476</v>
      </c>
      <c r="B278" t="s">
        <v>477</v>
      </c>
      <c r="C278">
        <v>12</v>
      </c>
      <c r="D278" t="s">
        <v>537</v>
      </c>
      <c r="E278" t="s">
        <v>1878</v>
      </c>
      <c r="F278" t="s">
        <v>1889</v>
      </c>
      <c r="G278" s="7">
        <v>45632</v>
      </c>
      <c r="H278" t="s">
        <v>71</v>
      </c>
      <c r="I278" t="s">
        <v>486</v>
      </c>
      <c r="J278" t="s">
        <v>8</v>
      </c>
      <c r="K278">
        <f>INDEX('LAB PRICES'!$C$2:$F$12, MATCH(tblLabs[[#This Row],[Code]], 'LAB PRICES'!$A$2:$A$12, 0), MATCH(tblLabs[[#This Row],[Facility]], 'LAB PRICES'!$C$1:$F$1, 0))</f>
        <v>6</v>
      </c>
      <c r="L278">
        <f>_xlfn.XLOOKUP(
    tblLabs[[#This Row],[Code]],
    'LAB PRICES'!$A$2:$A$12,
    'LAB PRICES'!$G$2:$G$12
)</f>
        <v>23</v>
      </c>
    </row>
    <row r="279" spans="1:12" x14ac:dyDescent="0.25">
      <c r="A279" t="s">
        <v>476</v>
      </c>
      <c r="B279" t="s">
        <v>477</v>
      </c>
      <c r="C279">
        <v>8</v>
      </c>
      <c r="D279" t="s">
        <v>538</v>
      </c>
      <c r="E279" t="s">
        <v>1878</v>
      </c>
      <c r="F279" t="s">
        <v>1889</v>
      </c>
      <c r="G279" s="7">
        <v>45632</v>
      </c>
      <c r="H279" t="s">
        <v>71</v>
      </c>
      <c r="I279" t="s">
        <v>486</v>
      </c>
      <c r="J279" t="s">
        <v>8</v>
      </c>
      <c r="K279">
        <f>INDEX('LAB PRICES'!$C$2:$F$12, MATCH(tblLabs[[#This Row],[Code]], 'LAB PRICES'!$A$2:$A$12, 0), MATCH(tblLabs[[#This Row],[Facility]], 'LAB PRICES'!$C$1:$F$1, 0))</f>
        <v>6</v>
      </c>
      <c r="L279">
        <f>_xlfn.XLOOKUP(
    tblLabs[[#This Row],[Code]],
    'LAB PRICES'!$A$2:$A$12,
    'LAB PRICES'!$G$2:$G$12
)</f>
        <v>23</v>
      </c>
    </row>
    <row r="280" spans="1:12" x14ac:dyDescent="0.25">
      <c r="A280" t="s">
        <v>476</v>
      </c>
      <c r="B280" t="s">
        <v>477</v>
      </c>
      <c r="C280">
        <v>12</v>
      </c>
      <c r="D280" t="s">
        <v>539</v>
      </c>
      <c r="E280" t="s">
        <v>237</v>
      </c>
      <c r="F280" t="s">
        <v>1890</v>
      </c>
      <c r="G280" s="7">
        <v>45633</v>
      </c>
      <c r="H280" t="s">
        <v>71</v>
      </c>
      <c r="I280" t="s">
        <v>486</v>
      </c>
      <c r="J280" t="s">
        <v>8</v>
      </c>
      <c r="K280">
        <f>INDEX('LAB PRICES'!$C$2:$F$12, MATCH(tblLabs[[#This Row],[Code]], 'LAB PRICES'!$A$2:$A$12, 0), MATCH(tblLabs[[#This Row],[Facility]], 'LAB PRICES'!$C$1:$F$1, 0))</f>
        <v>6</v>
      </c>
      <c r="L280">
        <f>_xlfn.XLOOKUP(
    tblLabs[[#This Row],[Code]],
    'LAB PRICES'!$A$2:$A$12,
    'LAB PRICES'!$G$2:$G$12
)</f>
        <v>27</v>
      </c>
    </row>
    <row r="281" spans="1:12" x14ac:dyDescent="0.25">
      <c r="A281" t="s">
        <v>476</v>
      </c>
      <c r="B281" t="s">
        <v>477</v>
      </c>
      <c r="C281">
        <v>12</v>
      </c>
      <c r="D281" t="s">
        <v>548</v>
      </c>
      <c r="E281" t="s">
        <v>237</v>
      </c>
      <c r="F281" t="s">
        <v>1890</v>
      </c>
      <c r="G281" s="7">
        <v>45653</v>
      </c>
      <c r="H281" t="s">
        <v>118</v>
      </c>
      <c r="I281" t="s">
        <v>543</v>
      </c>
      <c r="J281" t="s">
        <v>8</v>
      </c>
      <c r="K281">
        <f>INDEX('LAB PRICES'!$C$2:$F$12, MATCH(tblLabs[[#This Row],[Code]], 'LAB PRICES'!$A$2:$A$12, 0), MATCH(tblLabs[[#This Row],[Facility]], 'LAB PRICES'!$C$1:$F$1, 0))</f>
        <v>6</v>
      </c>
      <c r="L281">
        <f>_xlfn.XLOOKUP(
    tblLabs[[#This Row],[Code]],
    'LAB PRICES'!$A$2:$A$12,
    'LAB PRICES'!$G$2:$G$12
)</f>
        <v>27</v>
      </c>
    </row>
    <row r="282" spans="1:12" x14ac:dyDescent="0.25">
      <c r="A282" t="s">
        <v>476</v>
      </c>
      <c r="B282" t="s">
        <v>477</v>
      </c>
      <c r="C282">
        <v>12</v>
      </c>
      <c r="D282" t="s">
        <v>541</v>
      </c>
      <c r="E282" t="s">
        <v>1878</v>
      </c>
      <c r="F282" t="s">
        <v>1889</v>
      </c>
      <c r="G282" s="7">
        <v>45652</v>
      </c>
      <c r="H282" t="s">
        <v>118</v>
      </c>
      <c r="I282" t="s">
        <v>36</v>
      </c>
      <c r="J282" t="s">
        <v>8</v>
      </c>
      <c r="K282">
        <f>INDEX('LAB PRICES'!$C$2:$F$12, MATCH(tblLabs[[#This Row],[Code]], 'LAB PRICES'!$A$2:$A$12, 0), MATCH(tblLabs[[#This Row],[Facility]], 'LAB PRICES'!$C$1:$F$1, 0))</f>
        <v>6</v>
      </c>
      <c r="L282">
        <f>_xlfn.XLOOKUP(
    tblLabs[[#This Row],[Code]],
    'LAB PRICES'!$A$2:$A$12,
    'LAB PRICES'!$G$2:$G$12
)</f>
        <v>23</v>
      </c>
    </row>
    <row r="283" spans="1:12" x14ac:dyDescent="0.25">
      <c r="A283" t="s">
        <v>476</v>
      </c>
      <c r="B283" t="s">
        <v>477</v>
      </c>
      <c r="C283">
        <v>12</v>
      </c>
      <c r="D283" t="s">
        <v>542</v>
      </c>
      <c r="E283" t="s">
        <v>1878</v>
      </c>
      <c r="F283" t="s">
        <v>1889</v>
      </c>
      <c r="G283" s="7">
        <v>45652</v>
      </c>
      <c r="H283" t="s">
        <v>118</v>
      </c>
      <c r="I283" t="s">
        <v>543</v>
      </c>
      <c r="J283" t="s">
        <v>8</v>
      </c>
      <c r="K283">
        <f>INDEX('LAB PRICES'!$C$2:$F$12, MATCH(tblLabs[[#This Row],[Code]], 'LAB PRICES'!$A$2:$A$12, 0), MATCH(tblLabs[[#This Row],[Facility]], 'LAB PRICES'!$C$1:$F$1, 0))</f>
        <v>6</v>
      </c>
      <c r="L283">
        <f>_xlfn.XLOOKUP(
    tblLabs[[#This Row],[Code]],
    'LAB PRICES'!$A$2:$A$12,
    'LAB PRICES'!$G$2:$G$12
)</f>
        <v>23</v>
      </c>
    </row>
    <row r="284" spans="1:12" x14ac:dyDescent="0.25">
      <c r="A284" t="s">
        <v>476</v>
      </c>
      <c r="B284" t="s">
        <v>477</v>
      </c>
      <c r="C284">
        <v>9</v>
      </c>
      <c r="D284" t="s">
        <v>544</v>
      </c>
      <c r="E284" t="s">
        <v>1878</v>
      </c>
      <c r="F284" t="s">
        <v>1889</v>
      </c>
      <c r="G284" s="7">
        <v>45652</v>
      </c>
      <c r="H284" t="s">
        <v>118</v>
      </c>
      <c r="I284" t="s">
        <v>543</v>
      </c>
      <c r="J284" t="s">
        <v>8</v>
      </c>
      <c r="K284">
        <f>INDEX('LAB PRICES'!$C$2:$F$12, MATCH(tblLabs[[#This Row],[Code]], 'LAB PRICES'!$A$2:$A$12, 0), MATCH(tblLabs[[#This Row],[Facility]], 'LAB PRICES'!$C$1:$F$1, 0))</f>
        <v>6</v>
      </c>
      <c r="L284">
        <f>_xlfn.XLOOKUP(
    tblLabs[[#This Row],[Code]],
    'LAB PRICES'!$A$2:$A$12,
    'LAB PRICES'!$G$2:$G$12
)</f>
        <v>23</v>
      </c>
    </row>
    <row r="285" spans="1:12" x14ac:dyDescent="0.25">
      <c r="A285" t="s">
        <v>476</v>
      </c>
      <c r="B285" t="s">
        <v>477</v>
      </c>
      <c r="C285">
        <v>12</v>
      </c>
      <c r="D285" t="s">
        <v>549</v>
      </c>
      <c r="E285" t="s">
        <v>1878</v>
      </c>
      <c r="F285" t="s">
        <v>1889</v>
      </c>
      <c r="G285" s="7">
        <v>45653</v>
      </c>
      <c r="H285" t="s">
        <v>7</v>
      </c>
      <c r="I285" t="s">
        <v>546</v>
      </c>
      <c r="J285" t="s">
        <v>8</v>
      </c>
      <c r="K285">
        <f>INDEX('LAB PRICES'!$C$2:$F$12, MATCH(tblLabs[[#This Row],[Code]], 'LAB PRICES'!$A$2:$A$12, 0), MATCH(tblLabs[[#This Row],[Facility]], 'LAB PRICES'!$C$1:$F$1, 0))</f>
        <v>6</v>
      </c>
      <c r="L285">
        <f>_xlfn.XLOOKUP(
    tblLabs[[#This Row],[Code]],
    'LAB PRICES'!$A$2:$A$12,
    'LAB PRICES'!$G$2:$G$12
)</f>
        <v>23</v>
      </c>
    </row>
    <row r="286" spans="1:12" x14ac:dyDescent="0.25">
      <c r="A286" t="s">
        <v>476</v>
      </c>
      <c r="B286" t="s">
        <v>477</v>
      </c>
      <c r="C286">
        <v>14</v>
      </c>
      <c r="D286" t="s">
        <v>550</v>
      </c>
      <c r="E286" t="s">
        <v>1878</v>
      </c>
      <c r="F286" t="s">
        <v>1889</v>
      </c>
      <c r="G286" s="7">
        <v>45653</v>
      </c>
      <c r="H286" t="s">
        <v>7</v>
      </c>
      <c r="I286" t="s">
        <v>546</v>
      </c>
      <c r="J286" t="s">
        <v>8</v>
      </c>
      <c r="K286">
        <f>INDEX('LAB PRICES'!$C$2:$F$12, MATCH(tblLabs[[#This Row],[Code]], 'LAB PRICES'!$A$2:$A$12, 0), MATCH(tblLabs[[#This Row],[Facility]], 'LAB PRICES'!$C$1:$F$1, 0))</f>
        <v>6</v>
      </c>
      <c r="L286">
        <f>_xlfn.XLOOKUP(
    tblLabs[[#This Row],[Code]],
    'LAB PRICES'!$A$2:$A$12,
    'LAB PRICES'!$G$2:$G$12
)</f>
        <v>23</v>
      </c>
    </row>
    <row r="287" spans="1:12" x14ac:dyDescent="0.25">
      <c r="A287" t="s">
        <v>476</v>
      </c>
      <c r="B287" t="s">
        <v>477</v>
      </c>
      <c r="C287">
        <v>12</v>
      </c>
      <c r="D287" t="s">
        <v>551</v>
      </c>
      <c r="E287" t="s">
        <v>237</v>
      </c>
      <c r="F287" t="s">
        <v>1890</v>
      </c>
      <c r="G287" s="7">
        <v>45653</v>
      </c>
      <c r="H287" t="s">
        <v>7</v>
      </c>
      <c r="I287" t="s">
        <v>546</v>
      </c>
      <c r="J287" t="s">
        <v>8</v>
      </c>
      <c r="K287">
        <f>INDEX('LAB PRICES'!$C$2:$F$12, MATCH(tblLabs[[#This Row],[Code]], 'LAB PRICES'!$A$2:$A$12, 0), MATCH(tblLabs[[#This Row],[Facility]], 'LAB PRICES'!$C$1:$F$1, 0))</f>
        <v>6</v>
      </c>
      <c r="L287">
        <f>_xlfn.XLOOKUP(
    tblLabs[[#This Row],[Code]],
    'LAB PRICES'!$A$2:$A$12,
    'LAB PRICES'!$G$2:$G$12
)</f>
        <v>27</v>
      </c>
    </row>
    <row r="288" spans="1:12" x14ac:dyDescent="0.25">
      <c r="A288" t="s">
        <v>476</v>
      </c>
      <c r="B288" t="s">
        <v>477</v>
      </c>
      <c r="C288">
        <v>5</v>
      </c>
      <c r="D288" t="s">
        <v>554</v>
      </c>
      <c r="E288" t="s">
        <v>14</v>
      </c>
      <c r="F288" t="s">
        <v>1891</v>
      </c>
      <c r="G288" s="7">
        <v>45668</v>
      </c>
      <c r="H288" t="s">
        <v>71</v>
      </c>
      <c r="I288" t="s">
        <v>489</v>
      </c>
      <c r="J288" t="s">
        <v>8</v>
      </c>
      <c r="K288">
        <f>INDEX('LAB PRICES'!$C$2:$F$12, MATCH(tblLabs[[#This Row],[Code]], 'LAB PRICES'!$A$2:$A$12, 0), MATCH(tblLabs[[#This Row],[Facility]], 'LAB PRICES'!$C$1:$F$1, 0))</f>
        <v>40</v>
      </c>
      <c r="L288">
        <f>_xlfn.XLOOKUP(
    tblLabs[[#This Row],[Code]],
    'LAB PRICES'!$A$2:$A$12,
    'LAB PRICES'!$G$2:$G$12
)</f>
        <v>100</v>
      </c>
    </row>
    <row r="289" spans="1:12" x14ac:dyDescent="0.25">
      <c r="A289" t="s">
        <v>476</v>
      </c>
      <c r="B289" t="s">
        <v>477</v>
      </c>
      <c r="C289">
        <v>5</v>
      </c>
      <c r="D289" t="s">
        <v>559</v>
      </c>
      <c r="E289" t="s">
        <v>14</v>
      </c>
      <c r="F289" t="s">
        <v>1891</v>
      </c>
      <c r="G289" s="7">
        <v>45675</v>
      </c>
      <c r="H289" t="s">
        <v>71</v>
      </c>
      <c r="I289" t="s">
        <v>557</v>
      </c>
      <c r="J289" t="s">
        <v>8</v>
      </c>
      <c r="K289">
        <f>INDEX('LAB PRICES'!$C$2:$F$12, MATCH(tblLabs[[#This Row],[Code]], 'LAB PRICES'!$A$2:$A$12, 0), MATCH(tblLabs[[#This Row],[Facility]], 'LAB PRICES'!$C$1:$F$1, 0))</f>
        <v>40</v>
      </c>
      <c r="L289">
        <f>_xlfn.XLOOKUP(
    tblLabs[[#This Row],[Code]],
    'LAB PRICES'!$A$2:$A$12,
    'LAB PRICES'!$G$2:$G$12
)</f>
        <v>100</v>
      </c>
    </row>
    <row r="290" spans="1:12" x14ac:dyDescent="0.25">
      <c r="A290" t="s">
        <v>476</v>
      </c>
      <c r="B290" t="s">
        <v>477</v>
      </c>
      <c r="C290">
        <v>5</v>
      </c>
      <c r="D290" t="s">
        <v>560</v>
      </c>
      <c r="E290" t="s">
        <v>14</v>
      </c>
      <c r="F290" t="s">
        <v>1891</v>
      </c>
      <c r="G290" s="7">
        <v>45675</v>
      </c>
      <c r="H290" t="s">
        <v>136</v>
      </c>
      <c r="I290" t="s">
        <v>561</v>
      </c>
      <c r="J290" t="s">
        <v>8</v>
      </c>
      <c r="K290">
        <f>INDEX('LAB PRICES'!$C$2:$F$12, MATCH(tblLabs[[#This Row],[Code]], 'LAB PRICES'!$A$2:$A$12, 0), MATCH(tblLabs[[#This Row],[Facility]], 'LAB PRICES'!$C$1:$F$1, 0))</f>
        <v>40</v>
      </c>
      <c r="L290">
        <f>_xlfn.XLOOKUP(
    tblLabs[[#This Row],[Code]],
    'LAB PRICES'!$A$2:$A$12,
    'LAB PRICES'!$G$2:$G$12
)</f>
        <v>100</v>
      </c>
    </row>
    <row r="291" spans="1:12" x14ac:dyDescent="0.25">
      <c r="A291" t="s">
        <v>476</v>
      </c>
      <c r="B291" t="s">
        <v>477</v>
      </c>
      <c r="C291">
        <v>12</v>
      </c>
      <c r="D291" t="s">
        <v>552</v>
      </c>
      <c r="E291" t="s">
        <v>1878</v>
      </c>
      <c r="F291" t="s">
        <v>1889</v>
      </c>
      <c r="G291" s="7">
        <v>45667</v>
      </c>
      <c r="H291" t="s">
        <v>71</v>
      </c>
      <c r="I291" t="s">
        <v>489</v>
      </c>
      <c r="J291" t="s">
        <v>8</v>
      </c>
      <c r="K291">
        <f>INDEX('LAB PRICES'!$C$2:$F$12, MATCH(tblLabs[[#This Row],[Code]], 'LAB PRICES'!$A$2:$A$12, 0), MATCH(tblLabs[[#This Row],[Facility]], 'LAB PRICES'!$C$1:$F$1, 0))</f>
        <v>6</v>
      </c>
      <c r="L291">
        <f>_xlfn.XLOOKUP(
    tblLabs[[#This Row],[Code]],
    'LAB PRICES'!$A$2:$A$12,
    'LAB PRICES'!$G$2:$G$12
)</f>
        <v>23</v>
      </c>
    </row>
    <row r="292" spans="1:12" x14ac:dyDescent="0.25">
      <c r="A292" t="s">
        <v>476</v>
      </c>
      <c r="B292" t="s">
        <v>477</v>
      </c>
      <c r="C292">
        <v>8</v>
      </c>
      <c r="D292" t="s">
        <v>553</v>
      </c>
      <c r="E292" t="s">
        <v>1878</v>
      </c>
      <c r="F292" t="s">
        <v>1889</v>
      </c>
      <c r="G292" s="7">
        <v>45667</v>
      </c>
      <c r="H292" t="s">
        <v>71</v>
      </c>
      <c r="I292" t="s">
        <v>489</v>
      </c>
      <c r="J292" t="s">
        <v>8</v>
      </c>
      <c r="K292">
        <f>INDEX('LAB PRICES'!$C$2:$F$12, MATCH(tblLabs[[#This Row],[Code]], 'LAB PRICES'!$A$2:$A$12, 0), MATCH(tblLabs[[#This Row],[Facility]], 'LAB PRICES'!$C$1:$F$1, 0))</f>
        <v>6</v>
      </c>
      <c r="L292">
        <f>_xlfn.XLOOKUP(
    tblLabs[[#This Row],[Code]],
    'LAB PRICES'!$A$2:$A$12,
    'LAB PRICES'!$G$2:$G$12
)</f>
        <v>23</v>
      </c>
    </row>
    <row r="293" spans="1:12" x14ac:dyDescent="0.25">
      <c r="A293" t="s">
        <v>476</v>
      </c>
      <c r="B293" t="s">
        <v>477</v>
      </c>
      <c r="C293">
        <v>12</v>
      </c>
      <c r="D293" t="s">
        <v>555</v>
      </c>
      <c r="E293" t="s">
        <v>237</v>
      </c>
      <c r="F293" t="s">
        <v>1890</v>
      </c>
      <c r="G293" s="7">
        <v>45668</v>
      </c>
      <c r="H293" t="s">
        <v>71</v>
      </c>
      <c r="I293" t="s">
        <v>489</v>
      </c>
      <c r="J293" t="s">
        <v>8</v>
      </c>
      <c r="K293">
        <f>INDEX('LAB PRICES'!$C$2:$F$12, MATCH(tblLabs[[#This Row],[Code]], 'LAB PRICES'!$A$2:$A$12, 0), MATCH(tblLabs[[#This Row],[Facility]], 'LAB PRICES'!$C$1:$F$1, 0))</f>
        <v>6</v>
      </c>
      <c r="L293">
        <f>_xlfn.XLOOKUP(
    tblLabs[[#This Row],[Code]],
    'LAB PRICES'!$A$2:$A$12,
    'LAB PRICES'!$G$2:$G$12
)</f>
        <v>27</v>
      </c>
    </row>
    <row r="294" spans="1:12" x14ac:dyDescent="0.25">
      <c r="A294" t="s">
        <v>476</v>
      </c>
      <c r="B294" t="s">
        <v>477</v>
      </c>
      <c r="C294">
        <v>12</v>
      </c>
      <c r="D294" t="s">
        <v>556</v>
      </c>
      <c r="E294" t="s">
        <v>1878</v>
      </c>
      <c r="F294" t="s">
        <v>1889</v>
      </c>
      <c r="G294" s="7">
        <v>45674</v>
      </c>
      <c r="H294" t="s">
        <v>71</v>
      </c>
      <c r="I294" t="s">
        <v>557</v>
      </c>
      <c r="J294" t="s">
        <v>8</v>
      </c>
      <c r="K294">
        <f>INDEX('LAB PRICES'!$C$2:$F$12, MATCH(tblLabs[[#This Row],[Code]], 'LAB PRICES'!$A$2:$A$12, 0), MATCH(tblLabs[[#This Row],[Facility]], 'LAB PRICES'!$C$1:$F$1, 0))</f>
        <v>6</v>
      </c>
      <c r="L294">
        <f>_xlfn.XLOOKUP(
    tblLabs[[#This Row],[Code]],
    'LAB PRICES'!$A$2:$A$12,
    'LAB PRICES'!$G$2:$G$12
)</f>
        <v>23</v>
      </c>
    </row>
    <row r="295" spans="1:12" x14ac:dyDescent="0.25">
      <c r="A295" t="s">
        <v>476</v>
      </c>
      <c r="B295" t="s">
        <v>477</v>
      </c>
      <c r="C295">
        <v>8</v>
      </c>
      <c r="D295" t="s">
        <v>558</v>
      </c>
      <c r="E295" t="s">
        <v>1878</v>
      </c>
      <c r="F295" t="s">
        <v>1889</v>
      </c>
      <c r="G295" s="7">
        <v>45674</v>
      </c>
      <c r="H295" t="s">
        <v>71</v>
      </c>
      <c r="I295" t="s">
        <v>557</v>
      </c>
      <c r="J295" t="s">
        <v>8</v>
      </c>
      <c r="K295">
        <f>INDEX('LAB PRICES'!$C$2:$F$12, MATCH(tblLabs[[#This Row],[Code]], 'LAB PRICES'!$A$2:$A$12, 0), MATCH(tblLabs[[#This Row],[Facility]], 'LAB PRICES'!$C$1:$F$1, 0))</f>
        <v>6</v>
      </c>
      <c r="L295">
        <f>_xlfn.XLOOKUP(
    tblLabs[[#This Row],[Code]],
    'LAB PRICES'!$A$2:$A$12,
    'LAB PRICES'!$G$2:$G$12
)</f>
        <v>23</v>
      </c>
    </row>
    <row r="296" spans="1:12" x14ac:dyDescent="0.25">
      <c r="A296" t="s">
        <v>476</v>
      </c>
      <c r="B296" t="s">
        <v>477</v>
      </c>
      <c r="C296">
        <v>12</v>
      </c>
      <c r="D296" t="s">
        <v>564</v>
      </c>
      <c r="E296" t="s">
        <v>237</v>
      </c>
      <c r="F296" t="s">
        <v>1890</v>
      </c>
      <c r="G296" s="7">
        <v>45675</v>
      </c>
      <c r="H296" t="s">
        <v>71</v>
      </c>
      <c r="I296" t="s">
        <v>557</v>
      </c>
      <c r="J296" t="s">
        <v>8</v>
      </c>
      <c r="K296">
        <f>INDEX('LAB PRICES'!$C$2:$F$12, MATCH(tblLabs[[#This Row],[Code]], 'LAB PRICES'!$A$2:$A$12, 0), MATCH(tblLabs[[#This Row],[Facility]], 'LAB PRICES'!$C$1:$F$1, 0))</f>
        <v>6</v>
      </c>
      <c r="L296">
        <f>_xlfn.XLOOKUP(
    tblLabs[[#This Row],[Code]],
    'LAB PRICES'!$A$2:$A$12,
    'LAB PRICES'!$G$2:$G$12
)</f>
        <v>27</v>
      </c>
    </row>
    <row r="297" spans="1:12" x14ac:dyDescent="0.25">
      <c r="A297" t="s">
        <v>476</v>
      </c>
      <c r="B297" t="s">
        <v>477</v>
      </c>
      <c r="C297">
        <v>12</v>
      </c>
      <c r="D297" t="s">
        <v>562</v>
      </c>
      <c r="E297" t="s">
        <v>1878</v>
      </c>
      <c r="F297" t="s">
        <v>1889</v>
      </c>
      <c r="G297" s="7">
        <v>45675</v>
      </c>
      <c r="H297" t="s">
        <v>136</v>
      </c>
      <c r="I297" t="s">
        <v>561</v>
      </c>
      <c r="J297" t="s">
        <v>8</v>
      </c>
      <c r="K297">
        <f>INDEX('LAB PRICES'!$C$2:$F$12, MATCH(tblLabs[[#This Row],[Code]], 'LAB PRICES'!$A$2:$A$12, 0), MATCH(tblLabs[[#This Row],[Facility]], 'LAB PRICES'!$C$1:$F$1, 0))</f>
        <v>6</v>
      </c>
      <c r="L297">
        <f>_xlfn.XLOOKUP(
    tblLabs[[#This Row],[Code]],
    'LAB PRICES'!$A$2:$A$12,
    'LAB PRICES'!$G$2:$G$12
)</f>
        <v>23</v>
      </c>
    </row>
    <row r="298" spans="1:12" x14ac:dyDescent="0.25">
      <c r="A298" t="s">
        <v>476</v>
      </c>
      <c r="B298" t="s">
        <v>477</v>
      </c>
      <c r="C298">
        <v>18</v>
      </c>
      <c r="D298" t="s">
        <v>563</v>
      </c>
      <c r="E298" t="s">
        <v>1878</v>
      </c>
      <c r="F298" t="s">
        <v>1889</v>
      </c>
      <c r="G298" s="7">
        <v>45675</v>
      </c>
      <c r="H298" t="s">
        <v>136</v>
      </c>
      <c r="I298" t="s">
        <v>561</v>
      </c>
      <c r="J298" t="s">
        <v>8</v>
      </c>
      <c r="K298">
        <f>INDEX('LAB PRICES'!$C$2:$F$12, MATCH(tblLabs[[#This Row],[Code]], 'LAB PRICES'!$A$2:$A$12, 0), MATCH(tblLabs[[#This Row],[Facility]], 'LAB PRICES'!$C$1:$F$1, 0))</f>
        <v>6</v>
      </c>
      <c r="L298">
        <f>_xlfn.XLOOKUP(
    tblLabs[[#This Row],[Code]],
    'LAB PRICES'!$A$2:$A$12,
    'LAB PRICES'!$G$2:$G$12
)</f>
        <v>23</v>
      </c>
    </row>
    <row r="299" spans="1:12" x14ac:dyDescent="0.25">
      <c r="A299" t="s">
        <v>476</v>
      </c>
      <c r="B299" t="s">
        <v>477</v>
      </c>
      <c r="C299">
        <v>12</v>
      </c>
      <c r="D299" t="s">
        <v>565</v>
      </c>
      <c r="E299" t="s">
        <v>237</v>
      </c>
      <c r="F299" t="s">
        <v>1890</v>
      </c>
      <c r="G299" s="7">
        <v>45675</v>
      </c>
      <c r="H299" t="s">
        <v>136</v>
      </c>
      <c r="I299" t="s">
        <v>561</v>
      </c>
      <c r="J299" t="s">
        <v>8</v>
      </c>
      <c r="K299">
        <f>INDEX('LAB PRICES'!$C$2:$F$12, MATCH(tblLabs[[#This Row],[Code]], 'LAB PRICES'!$A$2:$A$12, 0), MATCH(tblLabs[[#This Row],[Facility]], 'LAB PRICES'!$C$1:$F$1, 0))</f>
        <v>6</v>
      </c>
      <c r="L299">
        <f>_xlfn.XLOOKUP(
    tblLabs[[#This Row],[Code]],
    'LAB PRICES'!$A$2:$A$12,
    'LAB PRICES'!$G$2:$G$12
)</f>
        <v>27</v>
      </c>
    </row>
    <row r="300" spans="1:12" x14ac:dyDescent="0.25">
      <c r="A300" t="s">
        <v>476</v>
      </c>
      <c r="B300" t="s">
        <v>477</v>
      </c>
      <c r="C300">
        <v>5</v>
      </c>
      <c r="D300" t="s">
        <v>570</v>
      </c>
      <c r="E300" t="s">
        <v>14</v>
      </c>
      <c r="F300" t="s">
        <v>1891</v>
      </c>
      <c r="G300" s="7">
        <v>45689</v>
      </c>
      <c r="H300" t="s">
        <v>71</v>
      </c>
      <c r="I300" t="s">
        <v>567</v>
      </c>
      <c r="J300" t="s">
        <v>8</v>
      </c>
      <c r="K300">
        <f>INDEX('LAB PRICES'!$C$2:$F$12, MATCH(tblLabs[[#This Row],[Code]], 'LAB PRICES'!$A$2:$A$12, 0), MATCH(tblLabs[[#This Row],[Facility]], 'LAB PRICES'!$C$1:$F$1, 0))</f>
        <v>40</v>
      </c>
      <c r="L300">
        <f>_xlfn.XLOOKUP(
    tblLabs[[#This Row],[Code]],
    'LAB PRICES'!$A$2:$A$12,
    'LAB PRICES'!$G$2:$G$12
)</f>
        <v>100</v>
      </c>
    </row>
    <row r="301" spans="1:12" x14ac:dyDescent="0.25">
      <c r="A301" t="s">
        <v>476</v>
      </c>
      <c r="B301" t="s">
        <v>477</v>
      </c>
      <c r="C301">
        <v>12</v>
      </c>
      <c r="D301" t="s">
        <v>566</v>
      </c>
      <c r="E301" t="s">
        <v>1878</v>
      </c>
      <c r="F301" t="s">
        <v>1889</v>
      </c>
      <c r="G301" s="7">
        <v>45688</v>
      </c>
      <c r="H301" t="s">
        <v>71</v>
      </c>
      <c r="I301" t="s">
        <v>567</v>
      </c>
      <c r="J301" t="s">
        <v>8</v>
      </c>
      <c r="K301">
        <f>INDEX('LAB PRICES'!$C$2:$F$12, MATCH(tblLabs[[#This Row],[Code]], 'LAB PRICES'!$A$2:$A$12, 0), MATCH(tblLabs[[#This Row],[Facility]], 'LAB PRICES'!$C$1:$F$1, 0))</f>
        <v>6</v>
      </c>
      <c r="L301">
        <f>_xlfn.XLOOKUP(
    tblLabs[[#This Row],[Code]],
    'LAB PRICES'!$A$2:$A$12,
    'LAB PRICES'!$G$2:$G$12
)</f>
        <v>23</v>
      </c>
    </row>
    <row r="302" spans="1:12" x14ac:dyDescent="0.25">
      <c r="A302" t="s">
        <v>476</v>
      </c>
      <c r="B302" t="s">
        <v>477</v>
      </c>
      <c r="C302">
        <v>8</v>
      </c>
      <c r="D302" t="s">
        <v>568</v>
      </c>
      <c r="E302" t="s">
        <v>1878</v>
      </c>
      <c r="F302" t="s">
        <v>1889</v>
      </c>
      <c r="G302" s="7">
        <v>45688</v>
      </c>
      <c r="H302" t="s">
        <v>71</v>
      </c>
      <c r="I302" t="s">
        <v>567</v>
      </c>
      <c r="J302" t="s">
        <v>8</v>
      </c>
      <c r="K302">
        <f>INDEX('LAB PRICES'!$C$2:$F$12, MATCH(tblLabs[[#This Row],[Code]], 'LAB PRICES'!$A$2:$A$12, 0), MATCH(tblLabs[[#This Row],[Facility]], 'LAB PRICES'!$C$1:$F$1, 0))</f>
        <v>6</v>
      </c>
      <c r="L302">
        <f>_xlfn.XLOOKUP(
    tblLabs[[#This Row],[Code]],
    'LAB PRICES'!$A$2:$A$12,
    'LAB PRICES'!$G$2:$G$12
)</f>
        <v>23</v>
      </c>
    </row>
    <row r="303" spans="1:12" x14ac:dyDescent="0.25">
      <c r="A303" t="s">
        <v>476</v>
      </c>
      <c r="B303" t="s">
        <v>477</v>
      </c>
      <c r="C303">
        <v>12</v>
      </c>
      <c r="D303" t="s">
        <v>569</v>
      </c>
      <c r="E303" t="s">
        <v>237</v>
      </c>
      <c r="F303" t="s">
        <v>1890</v>
      </c>
      <c r="G303" s="7">
        <v>45689</v>
      </c>
      <c r="H303" t="s">
        <v>71</v>
      </c>
      <c r="I303" t="s">
        <v>567</v>
      </c>
      <c r="J303" t="s">
        <v>8</v>
      </c>
      <c r="K303">
        <f>INDEX('LAB PRICES'!$C$2:$F$12, MATCH(tblLabs[[#This Row],[Code]], 'LAB PRICES'!$A$2:$A$12, 0), MATCH(tblLabs[[#This Row],[Facility]], 'LAB PRICES'!$C$1:$F$1, 0))</f>
        <v>6</v>
      </c>
      <c r="L303">
        <f>_xlfn.XLOOKUP(
    tblLabs[[#This Row],[Code]],
    'LAB PRICES'!$A$2:$A$12,
    'LAB PRICES'!$G$2:$G$12
)</f>
        <v>27</v>
      </c>
    </row>
    <row r="304" spans="1:12" x14ac:dyDescent="0.25">
      <c r="A304" t="s">
        <v>476</v>
      </c>
      <c r="B304" t="s">
        <v>477</v>
      </c>
      <c r="C304">
        <v>5</v>
      </c>
      <c r="D304" t="s">
        <v>575</v>
      </c>
      <c r="E304" t="s">
        <v>14</v>
      </c>
      <c r="F304" t="s">
        <v>1891</v>
      </c>
      <c r="G304" s="7">
        <v>45710</v>
      </c>
      <c r="H304" t="s">
        <v>126</v>
      </c>
      <c r="I304" t="s">
        <v>572</v>
      </c>
      <c r="J304" t="s">
        <v>8</v>
      </c>
      <c r="K304">
        <f>INDEX('LAB PRICES'!$C$2:$F$12, MATCH(tblLabs[[#This Row],[Code]], 'LAB PRICES'!$A$2:$A$12, 0), MATCH(tblLabs[[#This Row],[Facility]], 'LAB PRICES'!$C$1:$F$1, 0))</f>
        <v>40</v>
      </c>
      <c r="L304">
        <f>_xlfn.XLOOKUP(
    tblLabs[[#This Row],[Code]],
    'LAB PRICES'!$A$2:$A$12,
    'LAB PRICES'!$G$2:$G$12
)</f>
        <v>100</v>
      </c>
    </row>
    <row r="305" spans="1:12" x14ac:dyDescent="0.25">
      <c r="A305" t="s">
        <v>476</v>
      </c>
      <c r="B305" t="s">
        <v>477</v>
      </c>
      <c r="C305">
        <v>12</v>
      </c>
      <c r="D305" t="s">
        <v>571</v>
      </c>
      <c r="E305" t="s">
        <v>1878</v>
      </c>
      <c r="F305" t="s">
        <v>1889</v>
      </c>
      <c r="G305" s="7">
        <v>45709</v>
      </c>
      <c r="H305" t="s">
        <v>126</v>
      </c>
      <c r="I305" t="s">
        <v>572</v>
      </c>
      <c r="J305" t="s">
        <v>8</v>
      </c>
      <c r="K305">
        <f>INDEX('LAB PRICES'!$C$2:$F$12, MATCH(tblLabs[[#This Row],[Code]], 'LAB PRICES'!$A$2:$A$12, 0), MATCH(tblLabs[[#This Row],[Facility]], 'LAB PRICES'!$C$1:$F$1, 0))</f>
        <v>6</v>
      </c>
      <c r="L305">
        <f>_xlfn.XLOOKUP(
    tblLabs[[#This Row],[Code]],
    'LAB PRICES'!$A$2:$A$12,
    'LAB PRICES'!$G$2:$G$12
)</f>
        <v>23</v>
      </c>
    </row>
    <row r="306" spans="1:12" x14ac:dyDescent="0.25">
      <c r="A306" t="s">
        <v>476</v>
      </c>
      <c r="B306" t="s">
        <v>477</v>
      </c>
      <c r="C306">
        <v>18</v>
      </c>
      <c r="D306" t="s">
        <v>573</v>
      </c>
      <c r="E306" t="s">
        <v>1878</v>
      </c>
      <c r="F306" t="s">
        <v>1889</v>
      </c>
      <c r="G306" s="7">
        <v>45709</v>
      </c>
      <c r="H306" t="s">
        <v>126</v>
      </c>
      <c r="I306" t="s">
        <v>572</v>
      </c>
      <c r="J306" t="s">
        <v>8</v>
      </c>
      <c r="K306">
        <f>INDEX('LAB PRICES'!$C$2:$F$12, MATCH(tblLabs[[#This Row],[Code]], 'LAB PRICES'!$A$2:$A$12, 0), MATCH(tblLabs[[#This Row],[Facility]], 'LAB PRICES'!$C$1:$F$1, 0))</f>
        <v>6</v>
      </c>
      <c r="L306">
        <f>_xlfn.XLOOKUP(
    tblLabs[[#This Row],[Code]],
    'LAB PRICES'!$A$2:$A$12,
    'LAB PRICES'!$G$2:$G$12
)</f>
        <v>23</v>
      </c>
    </row>
    <row r="307" spans="1:12" x14ac:dyDescent="0.25">
      <c r="A307" t="s">
        <v>476</v>
      </c>
      <c r="B307" t="s">
        <v>477</v>
      </c>
      <c r="C307">
        <v>12</v>
      </c>
      <c r="D307" t="s">
        <v>574</v>
      </c>
      <c r="E307" t="s">
        <v>237</v>
      </c>
      <c r="F307" t="s">
        <v>1890</v>
      </c>
      <c r="G307" s="7">
        <v>45710</v>
      </c>
      <c r="H307" t="s">
        <v>126</v>
      </c>
      <c r="I307" t="s">
        <v>572</v>
      </c>
      <c r="J307" t="s">
        <v>8</v>
      </c>
      <c r="K307">
        <f>INDEX('LAB PRICES'!$C$2:$F$12, MATCH(tblLabs[[#This Row],[Code]], 'LAB PRICES'!$A$2:$A$12, 0), MATCH(tblLabs[[#This Row],[Facility]], 'LAB PRICES'!$C$1:$F$1, 0))</f>
        <v>6</v>
      </c>
      <c r="L307">
        <f>_xlfn.XLOOKUP(
    tblLabs[[#This Row],[Code]],
    'LAB PRICES'!$A$2:$A$12,
    'LAB PRICES'!$G$2:$G$12
)</f>
        <v>27</v>
      </c>
    </row>
    <row r="308" spans="1:12" x14ac:dyDescent="0.25">
      <c r="A308" t="s">
        <v>476</v>
      </c>
      <c r="B308" t="s">
        <v>477</v>
      </c>
      <c r="C308">
        <v>5</v>
      </c>
      <c r="D308" t="s">
        <v>580</v>
      </c>
      <c r="E308" t="s">
        <v>14</v>
      </c>
      <c r="F308" t="s">
        <v>1891</v>
      </c>
      <c r="G308" s="7">
        <v>45717</v>
      </c>
      <c r="H308" t="s">
        <v>142</v>
      </c>
      <c r="I308" t="s">
        <v>577</v>
      </c>
      <c r="J308" t="s">
        <v>8</v>
      </c>
      <c r="K308">
        <f>INDEX('LAB PRICES'!$C$2:$F$12, MATCH(tblLabs[[#This Row],[Code]], 'LAB PRICES'!$A$2:$A$12, 0), MATCH(tblLabs[[#This Row],[Facility]], 'LAB PRICES'!$C$1:$F$1, 0))</f>
        <v>40</v>
      </c>
      <c r="L308">
        <f>_xlfn.XLOOKUP(
    tblLabs[[#This Row],[Code]],
    'LAB PRICES'!$A$2:$A$12,
    'LAB PRICES'!$G$2:$G$12
)</f>
        <v>100</v>
      </c>
    </row>
    <row r="309" spans="1:12" x14ac:dyDescent="0.25">
      <c r="A309" t="s">
        <v>476</v>
      </c>
      <c r="B309" t="s">
        <v>477</v>
      </c>
      <c r="C309">
        <v>12</v>
      </c>
      <c r="D309" t="s">
        <v>579</v>
      </c>
      <c r="E309" t="s">
        <v>237</v>
      </c>
      <c r="F309" t="s">
        <v>1890</v>
      </c>
      <c r="G309" s="7">
        <v>45717</v>
      </c>
      <c r="H309" t="s">
        <v>142</v>
      </c>
      <c r="I309" t="s">
        <v>577</v>
      </c>
      <c r="J309" t="s">
        <v>8</v>
      </c>
      <c r="K309">
        <f>INDEX('LAB PRICES'!$C$2:$F$12, MATCH(tblLabs[[#This Row],[Code]], 'LAB PRICES'!$A$2:$A$12, 0), MATCH(tblLabs[[#This Row],[Facility]], 'LAB PRICES'!$C$1:$F$1, 0))</f>
        <v>6</v>
      </c>
      <c r="L309">
        <f>_xlfn.XLOOKUP(
    tblLabs[[#This Row],[Code]],
    'LAB PRICES'!$A$2:$A$12,
    'LAB PRICES'!$G$2:$G$12
)</f>
        <v>27</v>
      </c>
    </row>
    <row r="310" spans="1:12" x14ac:dyDescent="0.25">
      <c r="A310" t="s">
        <v>476</v>
      </c>
      <c r="B310" t="s">
        <v>477</v>
      </c>
      <c r="C310">
        <v>14</v>
      </c>
      <c r="D310" t="s">
        <v>578</v>
      </c>
      <c r="E310" t="s">
        <v>1878</v>
      </c>
      <c r="F310" t="s">
        <v>1889</v>
      </c>
      <c r="G310" s="7">
        <v>45716</v>
      </c>
      <c r="H310" t="s">
        <v>142</v>
      </c>
      <c r="I310" t="s">
        <v>577</v>
      </c>
      <c r="J310" t="s">
        <v>8</v>
      </c>
      <c r="K310">
        <f>INDEX('LAB PRICES'!$C$2:$F$12, MATCH(tblLabs[[#This Row],[Code]], 'LAB PRICES'!$A$2:$A$12, 0), MATCH(tblLabs[[#This Row],[Facility]], 'LAB PRICES'!$C$1:$F$1, 0))</f>
        <v>6</v>
      </c>
      <c r="L310">
        <f>_xlfn.XLOOKUP(
    tblLabs[[#This Row],[Code]],
    'LAB PRICES'!$A$2:$A$12,
    'LAB PRICES'!$G$2:$G$12
)</f>
        <v>23</v>
      </c>
    </row>
    <row r="311" spans="1:12" x14ac:dyDescent="0.25">
      <c r="A311" t="s">
        <v>476</v>
      </c>
      <c r="B311" t="s">
        <v>477</v>
      </c>
      <c r="C311">
        <v>12</v>
      </c>
      <c r="D311" t="s">
        <v>576</v>
      </c>
      <c r="E311" t="s">
        <v>1878</v>
      </c>
      <c r="F311" t="s">
        <v>1889</v>
      </c>
      <c r="G311" s="7">
        <v>45716</v>
      </c>
      <c r="H311" t="s">
        <v>142</v>
      </c>
      <c r="I311" t="s">
        <v>577</v>
      </c>
      <c r="J311" t="s">
        <v>8</v>
      </c>
      <c r="K311">
        <f>INDEX('LAB PRICES'!$C$2:$F$12, MATCH(tblLabs[[#This Row],[Code]], 'LAB PRICES'!$A$2:$A$12, 0), MATCH(tblLabs[[#This Row],[Facility]], 'LAB PRICES'!$C$1:$F$1, 0))</f>
        <v>6</v>
      </c>
      <c r="L311">
        <f>_xlfn.XLOOKUP(
    tblLabs[[#This Row],[Code]],
    'LAB PRICES'!$A$2:$A$12,
    'LAB PRICES'!$G$2:$G$12
)</f>
        <v>23</v>
      </c>
    </row>
    <row r="312" spans="1:12" x14ac:dyDescent="0.25">
      <c r="A312" t="s">
        <v>476</v>
      </c>
      <c r="B312" t="s">
        <v>477</v>
      </c>
      <c r="C312">
        <v>5</v>
      </c>
      <c r="D312" t="s">
        <v>584</v>
      </c>
      <c r="E312" t="s">
        <v>14</v>
      </c>
      <c r="F312" t="s">
        <v>1891</v>
      </c>
      <c r="G312" s="7">
        <v>45731</v>
      </c>
      <c r="H312" t="s">
        <v>71</v>
      </c>
      <c r="I312" t="s">
        <v>189</v>
      </c>
      <c r="J312" t="s">
        <v>8</v>
      </c>
      <c r="K312">
        <f>INDEX('LAB PRICES'!$C$2:$F$12, MATCH(tblLabs[[#This Row],[Code]], 'LAB PRICES'!$A$2:$A$12, 0), MATCH(tblLabs[[#This Row],[Facility]], 'LAB PRICES'!$C$1:$F$1, 0))</f>
        <v>40</v>
      </c>
      <c r="L312">
        <f>_xlfn.XLOOKUP(
    tblLabs[[#This Row],[Code]],
    'LAB PRICES'!$A$2:$A$12,
    'LAB PRICES'!$G$2:$G$12
)</f>
        <v>100</v>
      </c>
    </row>
    <row r="313" spans="1:12" x14ac:dyDescent="0.25">
      <c r="A313" t="s">
        <v>476</v>
      </c>
      <c r="B313" t="s">
        <v>477</v>
      </c>
      <c r="C313">
        <v>12</v>
      </c>
      <c r="D313" t="s">
        <v>583</v>
      </c>
      <c r="E313" t="s">
        <v>237</v>
      </c>
      <c r="F313" t="s">
        <v>1890</v>
      </c>
      <c r="G313" s="7">
        <v>45731</v>
      </c>
      <c r="H313" t="s">
        <v>71</v>
      </c>
      <c r="I313" t="s">
        <v>189</v>
      </c>
      <c r="J313" t="s">
        <v>8</v>
      </c>
      <c r="K313">
        <f>INDEX('LAB PRICES'!$C$2:$F$12, MATCH(tblLabs[[#This Row],[Code]], 'LAB PRICES'!$A$2:$A$12, 0), MATCH(tblLabs[[#This Row],[Facility]], 'LAB PRICES'!$C$1:$F$1, 0))</f>
        <v>6</v>
      </c>
      <c r="L313">
        <f>_xlfn.XLOOKUP(
    tblLabs[[#This Row],[Code]],
    'LAB PRICES'!$A$2:$A$12,
    'LAB PRICES'!$G$2:$G$12
)</f>
        <v>27</v>
      </c>
    </row>
    <row r="314" spans="1:12" x14ac:dyDescent="0.25">
      <c r="A314" t="s">
        <v>476</v>
      </c>
      <c r="B314" t="s">
        <v>477</v>
      </c>
      <c r="C314">
        <v>8</v>
      </c>
      <c r="D314" t="s">
        <v>582</v>
      </c>
      <c r="E314" t="s">
        <v>1878</v>
      </c>
      <c r="F314" t="s">
        <v>1889</v>
      </c>
      <c r="G314" s="7">
        <v>45730</v>
      </c>
      <c r="H314" t="s">
        <v>71</v>
      </c>
      <c r="I314" t="s">
        <v>189</v>
      </c>
      <c r="J314" t="s">
        <v>8</v>
      </c>
      <c r="K314">
        <f>INDEX('LAB PRICES'!$C$2:$F$12, MATCH(tblLabs[[#This Row],[Code]], 'LAB PRICES'!$A$2:$A$12, 0), MATCH(tblLabs[[#This Row],[Facility]], 'LAB PRICES'!$C$1:$F$1, 0))</f>
        <v>6</v>
      </c>
      <c r="L314">
        <f>_xlfn.XLOOKUP(
    tblLabs[[#This Row],[Code]],
    'LAB PRICES'!$A$2:$A$12,
    'LAB PRICES'!$G$2:$G$12
)</f>
        <v>23</v>
      </c>
    </row>
    <row r="315" spans="1:12" x14ac:dyDescent="0.25">
      <c r="A315" t="s">
        <v>476</v>
      </c>
      <c r="B315" t="s">
        <v>477</v>
      </c>
      <c r="C315">
        <v>12</v>
      </c>
      <c r="D315" t="s">
        <v>581</v>
      </c>
      <c r="E315" t="s">
        <v>1878</v>
      </c>
      <c r="F315" t="s">
        <v>1889</v>
      </c>
      <c r="G315" s="7">
        <v>45730</v>
      </c>
      <c r="H315" t="s">
        <v>71</v>
      </c>
      <c r="I315" t="s">
        <v>189</v>
      </c>
      <c r="J315" t="s">
        <v>8</v>
      </c>
      <c r="K315">
        <f>INDEX('LAB PRICES'!$C$2:$F$12, MATCH(tblLabs[[#This Row],[Code]], 'LAB PRICES'!$A$2:$A$12, 0), MATCH(tblLabs[[#This Row],[Facility]], 'LAB PRICES'!$C$1:$F$1, 0))</f>
        <v>6</v>
      </c>
      <c r="L315">
        <f>_xlfn.XLOOKUP(
    tblLabs[[#This Row],[Code]],
    'LAB PRICES'!$A$2:$A$12,
    'LAB PRICES'!$G$2:$G$12
)</f>
        <v>23</v>
      </c>
    </row>
    <row r="316" spans="1:12" x14ac:dyDescent="0.25">
      <c r="A316" t="s">
        <v>476</v>
      </c>
      <c r="B316" t="s">
        <v>477</v>
      </c>
      <c r="C316">
        <v>5</v>
      </c>
      <c r="D316" t="s">
        <v>588</v>
      </c>
      <c r="E316" t="s">
        <v>14</v>
      </c>
      <c r="F316" t="s">
        <v>1891</v>
      </c>
      <c r="G316" s="7">
        <v>45753</v>
      </c>
      <c r="H316" t="s">
        <v>126</v>
      </c>
      <c r="I316" t="s">
        <v>586</v>
      </c>
      <c r="J316" t="s">
        <v>8</v>
      </c>
      <c r="K316">
        <f>INDEX('LAB PRICES'!$C$2:$F$12, MATCH(tblLabs[[#This Row],[Code]], 'LAB PRICES'!$A$2:$A$12, 0), MATCH(tblLabs[[#This Row],[Facility]], 'LAB PRICES'!$C$1:$F$1, 0))</f>
        <v>40</v>
      </c>
      <c r="L316">
        <f>_xlfn.XLOOKUP(
    tblLabs[[#This Row],[Code]],
    'LAB PRICES'!$A$2:$A$12,
    'LAB PRICES'!$G$2:$G$12
)</f>
        <v>100</v>
      </c>
    </row>
    <row r="317" spans="1:12" x14ac:dyDescent="0.25">
      <c r="A317" t="s">
        <v>476</v>
      </c>
      <c r="B317" t="s">
        <v>477</v>
      </c>
      <c r="C317">
        <v>5</v>
      </c>
      <c r="D317" t="s">
        <v>598</v>
      </c>
      <c r="E317" t="s">
        <v>14</v>
      </c>
      <c r="F317" t="s">
        <v>1891</v>
      </c>
      <c r="G317" s="7">
        <v>45759</v>
      </c>
      <c r="H317" t="s">
        <v>7</v>
      </c>
      <c r="I317" t="s">
        <v>591</v>
      </c>
      <c r="J317" t="s">
        <v>8</v>
      </c>
      <c r="K317">
        <f>INDEX('LAB PRICES'!$C$2:$F$12, MATCH(tblLabs[[#This Row],[Code]], 'LAB PRICES'!$A$2:$A$12, 0), MATCH(tblLabs[[#This Row],[Facility]], 'LAB PRICES'!$C$1:$F$1, 0))</f>
        <v>40</v>
      </c>
      <c r="L317">
        <f>_xlfn.XLOOKUP(
    tblLabs[[#This Row],[Code]],
    'LAB PRICES'!$A$2:$A$12,
    'LAB PRICES'!$G$2:$G$12
)</f>
        <v>100</v>
      </c>
    </row>
    <row r="318" spans="1:12" x14ac:dyDescent="0.25">
      <c r="A318" t="s">
        <v>476</v>
      </c>
      <c r="B318" t="s">
        <v>477</v>
      </c>
      <c r="C318">
        <v>5</v>
      </c>
      <c r="D318" t="s">
        <v>599</v>
      </c>
      <c r="E318" t="s">
        <v>14</v>
      </c>
      <c r="F318" t="s">
        <v>1891</v>
      </c>
      <c r="G318" s="7">
        <v>45759</v>
      </c>
      <c r="H318" t="s">
        <v>7</v>
      </c>
      <c r="I318" t="s">
        <v>594</v>
      </c>
      <c r="J318" t="s">
        <v>8</v>
      </c>
      <c r="K318">
        <f>INDEX('LAB PRICES'!$C$2:$F$12, MATCH(tblLabs[[#This Row],[Code]], 'LAB PRICES'!$A$2:$A$12, 0), MATCH(tblLabs[[#This Row],[Facility]], 'LAB PRICES'!$C$1:$F$1, 0))</f>
        <v>40</v>
      </c>
      <c r="L318">
        <f>_xlfn.XLOOKUP(
    tblLabs[[#This Row],[Code]],
    'LAB PRICES'!$A$2:$A$12,
    'LAB PRICES'!$G$2:$G$12
)</f>
        <v>100</v>
      </c>
    </row>
    <row r="319" spans="1:12" x14ac:dyDescent="0.25">
      <c r="A319" t="s">
        <v>476</v>
      </c>
      <c r="B319" t="s">
        <v>477</v>
      </c>
      <c r="C319">
        <v>12</v>
      </c>
      <c r="D319" t="s">
        <v>589</v>
      </c>
      <c r="E319" t="s">
        <v>237</v>
      </c>
      <c r="F319" t="s">
        <v>1890</v>
      </c>
      <c r="G319" s="7">
        <v>45753</v>
      </c>
      <c r="H319" t="s">
        <v>126</v>
      </c>
      <c r="I319" t="s">
        <v>586</v>
      </c>
      <c r="J319" t="s">
        <v>8</v>
      </c>
      <c r="K319">
        <f>INDEX('LAB PRICES'!$C$2:$F$12, MATCH(tblLabs[[#This Row],[Code]], 'LAB PRICES'!$A$2:$A$12, 0), MATCH(tblLabs[[#This Row],[Facility]], 'LAB PRICES'!$C$1:$F$1, 0))</f>
        <v>6</v>
      </c>
      <c r="L319">
        <f>_xlfn.XLOOKUP(
    tblLabs[[#This Row],[Code]],
    'LAB PRICES'!$A$2:$A$12,
    'LAB PRICES'!$G$2:$G$12
)</f>
        <v>27</v>
      </c>
    </row>
    <row r="320" spans="1:12" x14ac:dyDescent="0.25">
      <c r="A320" t="s">
        <v>476</v>
      </c>
      <c r="B320" t="s">
        <v>477</v>
      </c>
      <c r="C320">
        <v>12</v>
      </c>
      <c r="D320" t="s">
        <v>585</v>
      </c>
      <c r="E320" t="s">
        <v>1878</v>
      </c>
      <c r="F320" t="s">
        <v>1889</v>
      </c>
      <c r="G320" s="7">
        <v>45752</v>
      </c>
      <c r="H320" t="s">
        <v>126</v>
      </c>
      <c r="I320" t="s">
        <v>586</v>
      </c>
      <c r="J320" t="s">
        <v>8</v>
      </c>
      <c r="K320">
        <f>INDEX('LAB PRICES'!$C$2:$F$12, MATCH(tblLabs[[#This Row],[Code]], 'LAB PRICES'!$A$2:$A$12, 0), MATCH(tblLabs[[#This Row],[Facility]], 'LAB PRICES'!$C$1:$F$1, 0))</f>
        <v>6</v>
      </c>
      <c r="L320">
        <f>_xlfn.XLOOKUP(
    tblLabs[[#This Row],[Code]],
    'LAB PRICES'!$A$2:$A$12,
    'LAB PRICES'!$G$2:$G$12
)</f>
        <v>23</v>
      </c>
    </row>
    <row r="321" spans="1:12" x14ac:dyDescent="0.25">
      <c r="A321" t="s">
        <v>476</v>
      </c>
      <c r="B321" t="s">
        <v>477</v>
      </c>
      <c r="C321">
        <v>10</v>
      </c>
      <c r="D321" t="s">
        <v>587</v>
      </c>
      <c r="E321" t="s">
        <v>1878</v>
      </c>
      <c r="F321" t="s">
        <v>1889</v>
      </c>
      <c r="G321" s="7">
        <v>45752</v>
      </c>
      <c r="H321" t="s">
        <v>126</v>
      </c>
      <c r="I321" t="s">
        <v>586</v>
      </c>
      <c r="J321" t="s">
        <v>8</v>
      </c>
      <c r="K321">
        <f>INDEX('LAB PRICES'!$C$2:$F$12, MATCH(tblLabs[[#This Row],[Code]], 'LAB PRICES'!$A$2:$A$12, 0), MATCH(tblLabs[[#This Row],[Facility]], 'LAB PRICES'!$C$1:$F$1, 0))</f>
        <v>6</v>
      </c>
      <c r="L321">
        <f>_xlfn.XLOOKUP(
    tblLabs[[#This Row],[Code]],
    'LAB PRICES'!$A$2:$A$12,
    'LAB PRICES'!$G$2:$G$12
)</f>
        <v>23</v>
      </c>
    </row>
    <row r="322" spans="1:12" x14ac:dyDescent="0.25">
      <c r="A322" t="s">
        <v>476</v>
      </c>
      <c r="B322" t="s">
        <v>477</v>
      </c>
      <c r="C322">
        <v>12</v>
      </c>
      <c r="D322" t="s">
        <v>590</v>
      </c>
      <c r="E322" t="s">
        <v>1878</v>
      </c>
      <c r="F322" t="s">
        <v>1889</v>
      </c>
      <c r="G322" s="7">
        <v>45758</v>
      </c>
      <c r="H322" t="s">
        <v>7</v>
      </c>
      <c r="I322" t="s">
        <v>591</v>
      </c>
      <c r="J322" t="s">
        <v>8</v>
      </c>
      <c r="K322">
        <f>INDEX('LAB PRICES'!$C$2:$F$12, MATCH(tblLabs[[#This Row],[Code]], 'LAB PRICES'!$A$2:$A$12, 0), MATCH(tblLabs[[#This Row],[Facility]], 'LAB PRICES'!$C$1:$F$1, 0))</f>
        <v>6</v>
      </c>
      <c r="L322">
        <f>_xlfn.XLOOKUP(
    tblLabs[[#This Row],[Code]],
    'LAB PRICES'!$A$2:$A$12,
    'LAB PRICES'!$G$2:$G$12
)</f>
        <v>23</v>
      </c>
    </row>
    <row r="323" spans="1:12" x14ac:dyDescent="0.25">
      <c r="A323" t="s">
        <v>476</v>
      </c>
      <c r="B323" t="s">
        <v>477</v>
      </c>
      <c r="C323">
        <v>14</v>
      </c>
      <c r="D323" t="s">
        <v>592</v>
      </c>
      <c r="E323" t="s">
        <v>1878</v>
      </c>
      <c r="F323" t="s">
        <v>1889</v>
      </c>
      <c r="G323" s="7">
        <v>45758</v>
      </c>
      <c r="H323" t="s">
        <v>7</v>
      </c>
      <c r="I323" t="s">
        <v>591</v>
      </c>
      <c r="J323" t="s">
        <v>8</v>
      </c>
      <c r="K323">
        <f>INDEX('LAB PRICES'!$C$2:$F$12, MATCH(tblLabs[[#This Row],[Code]], 'LAB PRICES'!$A$2:$A$12, 0), MATCH(tblLabs[[#This Row],[Facility]], 'LAB PRICES'!$C$1:$F$1, 0))</f>
        <v>6</v>
      </c>
      <c r="L323">
        <f>_xlfn.XLOOKUP(
    tblLabs[[#This Row],[Code]],
    'LAB PRICES'!$A$2:$A$12,
    'LAB PRICES'!$G$2:$G$12
)</f>
        <v>23</v>
      </c>
    </row>
    <row r="324" spans="1:12" x14ac:dyDescent="0.25">
      <c r="A324" t="s">
        <v>476</v>
      </c>
      <c r="B324" t="s">
        <v>477</v>
      </c>
      <c r="C324">
        <v>12</v>
      </c>
      <c r="D324" t="s">
        <v>596</v>
      </c>
      <c r="E324" t="s">
        <v>237</v>
      </c>
      <c r="F324" t="s">
        <v>1890</v>
      </c>
      <c r="G324" s="7">
        <v>45759</v>
      </c>
      <c r="H324" t="s">
        <v>7</v>
      </c>
      <c r="I324" t="s">
        <v>591</v>
      </c>
      <c r="J324" t="s">
        <v>8</v>
      </c>
      <c r="K324">
        <f>INDEX('LAB PRICES'!$C$2:$F$12, MATCH(tblLabs[[#This Row],[Code]], 'LAB PRICES'!$A$2:$A$12, 0), MATCH(tblLabs[[#This Row],[Facility]], 'LAB PRICES'!$C$1:$F$1, 0))</f>
        <v>6</v>
      </c>
      <c r="L324">
        <f>_xlfn.XLOOKUP(
    tblLabs[[#This Row],[Code]],
    'LAB PRICES'!$A$2:$A$12,
    'LAB PRICES'!$G$2:$G$12
)</f>
        <v>27</v>
      </c>
    </row>
    <row r="325" spans="1:12" x14ac:dyDescent="0.25">
      <c r="A325" t="s">
        <v>476</v>
      </c>
      <c r="B325" t="s">
        <v>477</v>
      </c>
      <c r="C325">
        <v>14</v>
      </c>
      <c r="D325" t="s">
        <v>595</v>
      </c>
      <c r="E325" t="s">
        <v>1878</v>
      </c>
      <c r="F325" t="s">
        <v>1889</v>
      </c>
      <c r="G325" s="7">
        <v>45759</v>
      </c>
      <c r="H325" t="s">
        <v>7</v>
      </c>
      <c r="I325" t="s">
        <v>594</v>
      </c>
      <c r="J325" t="s">
        <v>8</v>
      </c>
      <c r="K325">
        <f>INDEX('LAB PRICES'!$C$2:$F$12, MATCH(tblLabs[[#This Row],[Code]], 'LAB PRICES'!$A$2:$A$12, 0), MATCH(tblLabs[[#This Row],[Facility]], 'LAB PRICES'!$C$1:$F$1, 0))</f>
        <v>6</v>
      </c>
      <c r="L325">
        <f>_xlfn.XLOOKUP(
    tblLabs[[#This Row],[Code]],
    'LAB PRICES'!$A$2:$A$12,
    'LAB PRICES'!$G$2:$G$12
)</f>
        <v>23</v>
      </c>
    </row>
    <row r="326" spans="1:12" x14ac:dyDescent="0.25">
      <c r="A326" t="s">
        <v>476</v>
      </c>
      <c r="B326" t="s">
        <v>477</v>
      </c>
      <c r="C326">
        <v>12</v>
      </c>
      <c r="D326" t="s">
        <v>593</v>
      </c>
      <c r="E326" t="s">
        <v>1878</v>
      </c>
      <c r="F326" t="s">
        <v>1889</v>
      </c>
      <c r="G326" s="7">
        <v>45759</v>
      </c>
      <c r="H326" t="s">
        <v>7</v>
      </c>
      <c r="I326" t="s">
        <v>594</v>
      </c>
      <c r="J326" t="s">
        <v>8</v>
      </c>
      <c r="K326">
        <f>INDEX('LAB PRICES'!$C$2:$F$12, MATCH(tblLabs[[#This Row],[Code]], 'LAB PRICES'!$A$2:$A$12, 0), MATCH(tblLabs[[#This Row],[Facility]], 'LAB PRICES'!$C$1:$F$1, 0))</f>
        <v>6</v>
      </c>
      <c r="L326">
        <f>_xlfn.XLOOKUP(
    tblLabs[[#This Row],[Code]],
    'LAB PRICES'!$A$2:$A$12,
    'LAB PRICES'!$G$2:$G$12
)</f>
        <v>23</v>
      </c>
    </row>
    <row r="327" spans="1:12" x14ac:dyDescent="0.25">
      <c r="A327" t="s">
        <v>476</v>
      </c>
      <c r="B327" t="s">
        <v>477</v>
      </c>
      <c r="C327">
        <v>12</v>
      </c>
      <c r="D327" t="s">
        <v>597</v>
      </c>
      <c r="E327" t="s">
        <v>237</v>
      </c>
      <c r="F327" t="s">
        <v>1890</v>
      </c>
      <c r="G327" s="7">
        <v>45759</v>
      </c>
      <c r="H327" t="s">
        <v>7</v>
      </c>
      <c r="I327" t="s">
        <v>594</v>
      </c>
      <c r="J327" t="s">
        <v>8</v>
      </c>
      <c r="K327">
        <f>INDEX('LAB PRICES'!$C$2:$F$12, MATCH(tblLabs[[#This Row],[Code]], 'LAB PRICES'!$A$2:$A$12, 0), MATCH(tblLabs[[#This Row],[Facility]], 'LAB PRICES'!$C$1:$F$1, 0))</f>
        <v>6</v>
      </c>
      <c r="L327">
        <f>_xlfn.XLOOKUP(
    tblLabs[[#This Row],[Code]],
    'LAB PRICES'!$A$2:$A$12,
    'LAB PRICES'!$G$2:$G$12
)</f>
        <v>27</v>
      </c>
    </row>
    <row r="328" spans="1:12" x14ac:dyDescent="0.25">
      <c r="A328" t="s">
        <v>476</v>
      </c>
      <c r="B328" t="s">
        <v>477</v>
      </c>
      <c r="C328">
        <v>5</v>
      </c>
      <c r="D328" t="s">
        <v>604</v>
      </c>
      <c r="E328" t="s">
        <v>14</v>
      </c>
      <c r="F328" t="s">
        <v>1891</v>
      </c>
      <c r="G328" s="7">
        <v>45780</v>
      </c>
      <c r="H328" t="s">
        <v>136</v>
      </c>
      <c r="I328" t="s">
        <v>601</v>
      </c>
      <c r="J328" t="s">
        <v>8</v>
      </c>
      <c r="K328">
        <f>INDEX('LAB PRICES'!$C$2:$F$12, MATCH(tblLabs[[#This Row],[Code]], 'LAB PRICES'!$A$2:$A$12, 0), MATCH(tblLabs[[#This Row],[Facility]], 'LAB PRICES'!$C$1:$F$1, 0))</f>
        <v>40</v>
      </c>
      <c r="L328">
        <f>_xlfn.XLOOKUP(
    tblLabs[[#This Row],[Code]],
    'LAB PRICES'!$A$2:$A$12,
    'LAB PRICES'!$G$2:$G$12
)</f>
        <v>100</v>
      </c>
    </row>
    <row r="329" spans="1:12" x14ac:dyDescent="0.25">
      <c r="A329" t="s">
        <v>476</v>
      </c>
      <c r="B329" t="s">
        <v>477</v>
      </c>
      <c r="C329">
        <v>5</v>
      </c>
      <c r="D329" t="s">
        <v>609</v>
      </c>
      <c r="E329" t="s">
        <v>14</v>
      </c>
      <c r="F329" t="s">
        <v>1891</v>
      </c>
      <c r="G329" s="7">
        <v>45801</v>
      </c>
      <c r="H329" t="s">
        <v>126</v>
      </c>
      <c r="I329" t="s">
        <v>607</v>
      </c>
      <c r="J329" t="s">
        <v>8</v>
      </c>
      <c r="K329">
        <f>INDEX('LAB PRICES'!$C$2:$F$12, MATCH(tblLabs[[#This Row],[Code]], 'LAB PRICES'!$A$2:$A$12, 0), MATCH(tblLabs[[#This Row],[Facility]], 'LAB PRICES'!$C$1:$F$1, 0))</f>
        <v>40</v>
      </c>
      <c r="L329">
        <f>_xlfn.XLOOKUP(
    tblLabs[[#This Row],[Code]],
    'LAB PRICES'!$A$2:$A$12,
    'LAB PRICES'!$G$2:$G$12
)</f>
        <v>100</v>
      </c>
    </row>
    <row r="330" spans="1:12" x14ac:dyDescent="0.25">
      <c r="A330" t="s">
        <v>476</v>
      </c>
      <c r="B330" t="s">
        <v>477</v>
      </c>
      <c r="C330">
        <v>5</v>
      </c>
      <c r="D330" t="s">
        <v>620</v>
      </c>
      <c r="E330" t="s">
        <v>14</v>
      </c>
      <c r="F330" t="s">
        <v>1891</v>
      </c>
      <c r="G330" s="7">
        <v>45808</v>
      </c>
      <c r="H330" t="s">
        <v>136</v>
      </c>
      <c r="I330" t="s">
        <v>612</v>
      </c>
      <c r="J330" t="s">
        <v>8</v>
      </c>
      <c r="K330">
        <f>INDEX('LAB PRICES'!$C$2:$F$12, MATCH(tblLabs[[#This Row],[Code]], 'LAB PRICES'!$A$2:$A$12, 0), MATCH(tblLabs[[#This Row],[Facility]], 'LAB PRICES'!$C$1:$F$1, 0))</f>
        <v>40</v>
      </c>
      <c r="L330">
        <f>_xlfn.XLOOKUP(
    tblLabs[[#This Row],[Code]],
    'LAB PRICES'!$A$2:$A$12,
    'LAB PRICES'!$G$2:$G$12
)</f>
        <v>100</v>
      </c>
    </row>
    <row r="331" spans="1:12" x14ac:dyDescent="0.25">
      <c r="A331" t="s">
        <v>476</v>
      </c>
      <c r="B331" t="s">
        <v>477</v>
      </c>
      <c r="C331">
        <v>12</v>
      </c>
      <c r="D331" t="s">
        <v>600</v>
      </c>
      <c r="E331" t="s">
        <v>1878</v>
      </c>
      <c r="F331" t="s">
        <v>1889</v>
      </c>
      <c r="G331" s="7">
        <v>45778</v>
      </c>
      <c r="H331" t="s">
        <v>136</v>
      </c>
      <c r="I331" t="s">
        <v>601</v>
      </c>
      <c r="J331" t="s">
        <v>8</v>
      </c>
      <c r="K331">
        <f>INDEX('LAB PRICES'!$C$2:$F$12, MATCH(tblLabs[[#This Row],[Code]], 'LAB PRICES'!$A$2:$A$12, 0), MATCH(tblLabs[[#This Row],[Facility]], 'LAB PRICES'!$C$1:$F$1, 0))</f>
        <v>6</v>
      </c>
      <c r="L331">
        <f>_xlfn.XLOOKUP(
    tblLabs[[#This Row],[Code]],
    'LAB PRICES'!$A$2:$A$12,
    'LAB PRICES'!$G$2:$G$12
)</f>
        <v>23</v>
      </c>
    </row>
    <row r="332" spans="1:12" x14ac:dyDescent="0.25">
      <c r="A332" t="s">
        <v>476</v>
      </c>
      <c r="B332" t="s">
        <v>477</v>
      </c>
      <c r="C332">
        <v>12</v>
      </c>
      <c r="D332" t="s">
        <v>603</v>
      </c>
      <c r="E332" t="s">
        <v>1878</v>
      </c>
      <c r="F332" t="s">
        <v>1889</v>
      </c>
      <c r="G332" s="7">
        <v>45779</v>
      </c>
      <c r="H332" t="s">
        <v>136</v>
      </c>
      <c r="I332" t="s">
        <v>601</v>
      </c>
      <c r="J332" t="s">
        <v>8</v>
      </c>
      <c r="K332">
        <f>INDEX('LAB PRICES'!$C$2:$F$12, MATCH(tblLabs[[#This Row],[Code]], 'LAB PRICES'!$A$2:$A$12, 0), MATCH(tblLabs[[#This Row],[Facility]], 'LAB PRICES'!$C$1:$F$1, 0))</f>
        <v>6</v>
      </c>
      <c r="L332">
        <f>_xlfn.XLOOKUP(
    tblLabs[[#This Row],[Code]],
    'LAB PRICES'!$A$2:$A$12,
    'LAB PRICES'!$G$2:$G$12
)</f>
        <v>23</v>
      </c>
    </row>
    <row r="333" spans="1:12" x14ac:dyDescent="0.25">
      <c r="A333" t="s">
        <v>476</v>
      </c>
      <c r="B333" t="s">
        <v>477</v>
      </c>
      <c r="C333">
        <v>18</v>
      </c>
      <c r="D333" t="s">
        <v>602</v>
      </c>
      <c r="E333" t="s">
        <v>1878</v>
      </c>
      <c r="F333" t="s">
        <v>1889</v>
      </c>
      <c r="G333" s="7">
        <v>45779</v>
      </c>
      <c r="H333" t="s">
        <v>136</v>
      </c>
      <c r="I333" t="s">
        <v>601</v>
      </c>
      <c r="J333" t="s">
        <v>8</v>
      </c>
      <c r="K333">
        <f>INDEX('LAB PRICES'!$C$2:$F$12, MATCH(tblLabs[[#This Row],[Code]], 'LAB PRICES'!$A$2:$A$12, 0), MATCH(tblLabs[[#This Row],[Facility]], 'LAB PRICES'!$C$1:$F$1, 0))</f>
        <v>6</v>
      </c>
      <c r="L333">
        <f>_xlfn.XLOOKUP(
    tblLabs[[#This Row],[Code]],
    'LAB PRICES'!$A$2:$A$12,
    'LAB PRICES'!$G$2:$G$12
)</f>
        <v>23</v>
      </c>
    </row>
    <row r="334" spans="1:12" x14ac:dyDescent="0.25">
      <c r="A334" t="s">
        <v>476</v>
      </c>
      <c r="B334" t="s">
        <v>477</v>
      </c>
      <c r="C334">
        <v>12</v>
      </c>
      <c r="D334" t="s">
        <v>605</v>
      </c>
      <c r="E334" t="s">
        <v>237</v>
      </c>
      <c r="F334" t="s">
        <v>1890</v>
      </c>
      <c r="G334" s="7">
        <v>45780</v>
      </c>
      <c r="H334" t="s">
        <v>136</v>
      </c>
      <c r="I334" t="s">
        <v>601</v>
      </c>
      <c r="J334" t="s">
        <v>8</v>
      </c>
      <c r="K334">
        <f>INDEX('LAB PRICES'!$C$2:$F$12, MATCH(tblLabs[[#This Row],[Code]], 'LAB PRICES'!$A$2:$A$12, 0), MATCH(tblLabs[[#This Row],[Facility]], 'LAB PRICES'!$C$1:$F$1, 0))</f>
        <v>6</v>
      </c>
      <c r="L334">
        <f>_xlfn.XLOOKUP(
    tblLabs[[#This Row],[Code]],
    'LAB PRICES'!$A$2:$A$12,
    'LAB PRICES'!$G$2:$G$12
)</f>
        <v>27</v>
      </c>
    </row>
    <row r="335" spans="1:12" x14ac:dyDescent="0.25">
      <c r="A335" t="s">
        <v>476</v>
      </c>
      <c r="B335" t="s">
        <v>477</v>
      </c>
      <c r="C335">
        <v>12</v>
      </c>
      <c r="D335" t="s">
        <v>613</v>
      </c>
      <c r="E335" t="s">
        <v>1878</v>
      </c>
      <c r="F335" t="s">
        <v>1889</v>
      </c>
      <c r="G335" s="7">
        <v>45807</v>
      </c>
      <c r="H335" t="s">
        <v>136</v>
      </c>
      <c r="I335" t="s">
        <v>612</v>
      </c>
      <c r="J335" t="s">
        <v>8</v>
      </c>
      <c r="K335">
        <f>INDEX('LAB PRICES'!$C$2:$F$12, MATCH(tblLabs[[#This Row],[Code]], 'LAB PRICES'!$A$2:$A$12, 0), MATCH(tblLabs[[#This Row],[Facility]], 'LAB PRICES'!$C$1:$F$1, 0))</f>
        <v>6</v>
      </c>
      <c r="L335">
        <f>_xlfn.XLOOKUP(
    tblLabs[[#This Row],[Code]],
    'LAB PRICES'!$A$2:$A$12,
    'LAB PRICES'!$G$2:$G$12
)</f>
        <v>23</v>
      </c>
    </row>
    <row r="336" spans="1:12" x14ac:dyDescent="0.25">
      <c r="A336" t="s">
        <v>476</v>
      </c>
      <c r="B336" t="s">
        <v>477</v>
      </c>
      <c r="C336">
        <v>12</v>
      </c>
      <c r="D336" t="s">
        <v>617</v>
      </c>
      <c r="E336" t="s">
        <v>237</v>
      </c>
      <c r="F336" t="s">
        <v>1890</v>
      </c>
      <c r="G336" s="7">
        <v>45808</v>
      </c>
      <c r="H336" t="s">
        <v>136</v>
      </c>
      <c r="I336" t="s">
        <v>612</v>
      </c>
      <c r="J336" t="s">
        <v>8</v>
      </c>
      <c r="K336">
        <f>INDEX('LAB PRICES'!$C$2:$F$12, MATCH(tblLabs[[#This Row],[Code]], 'LAB PRICES'!$A$2:$A$12, 0), MATCH(tblLabs[[#This Row],[Facility]], 'LAB PRICES'!$C$1:$F$1, 0))</f>
        <v>6</v>
      </c>
      <c r="L336">
        <f>_xlfn.XLOOKUP(
    tblLabs[[#This Row],[Code]],
    'LAB PRICES'!$A$2:$A$12,
    'LAB PRICES'!$G$2:$G$12
)</f>
        <v>27</v>
      </c>
    </row>
    <row r="337" spans="1:12" x14ac:dyDescent="0.25">
      <c r="A337" t="s">
        <v>476</v>
      </c>
      <c r="B337" t="s">
        <v>477</v>
      </c>
      <c r="C337">
        <v>18</v>
      </c>
      <c r="D337" t="s">
        <v>611</v>
      </c>
      <c r="E337" t="s">
        <v>1878</v>
      </c>
      <c r="F337" t="s">
        <v>1889</v>
      </c>
      <c r="G337" s="7">
        <v>45807</v>
      </c>
      <c r="H337" t="s">
        <v>136</v>
      </c>
      <c r="I337" t="s">
        <v>612</v>
      </c>
      <c r="J337" t="s">
        <v>8</v>
      </c>
      <c r="K337">
        <f>INDEX('LAB PRICES'!$C$2:$F$12, MATCH(tblLabs[[#This Row],[Code]], 'LAB PRICES'!$A$2:$A$12, 0), MATCH(tblLabs[[#This Row],[Facility]], 'LAB PRICES'!$C$1:$F$1, 0))</f>
        <v>6</v>
      </c>
      <c r="L337">
        <f>_xlfn.XLOOKUP(
    tblLabs[[#This Row],[Code]],
    'LAB PRICES'!$A$2:$A$12,
    'LAB PRICES'!$G$2:$G$12
)</f>
        <v>23</v>
      </c>
    </row>
    <row r="338" spans="1:12" x14ac:dyDescent="0.25">
      <c r="A338" t="s">
        <v>476</v>
      </c>
      <c r="B338" t="s">
        <v>477</v>
      </c>
      <c r="C338">
        <v>12</v>
      </c>
      <c r="D338" t="s">
        <v>608</v>
      </c>
      <c r="E338" t="s">
        <v>1878</v>
      </c>
      <c r="F338" t="s">
        <v>1889</v>
      </c>
      <c r="G338" s="7">
        <v>45800</v>
      </c>
      <c r="H338" t="s">
        <v>126</v>
      </c>
      <c r="I338" t="s">
        <v>607</v>
      </c>
      <c r="J338" t="s">
        <v>8</v>
      </c>
      <c r="K338">
        <f>INDEX('LAB PRICES'!$C$2:$F$12, MATCH(tblLabs[[#This Row],[Code]], 'LAB PRICES'!$A$2:$A$12, 0), MATCH(tblLabs[[#This Row],[Facility]], 'LAB PRICES'!$C$1:$F$1, 0))</f>
        <v>6</v>
      </c>
      <c r="L338">
        <f>_xlfn.XLOOKUP(
    tblLabs[[#This Row],[Code]],
    'LAB PRICES'!$A$2:$A$12,
    'LAB PRICES'!$G$2:$G$12
)</f>
        <v>23</v>
      </c>
    </row>
    <row r="339" spans="1:12" x14ac:dyDescent="0.25">
      <c r="A339" t="s">
        <v>476</v>
      </c>
      <c r="B339" t="s">
        <v>477</v>
      </c>
      <c r="C339">
        <v>10</v>
      </c>
      <c r="D339" t="s">
        <v>606</v>
      </c>
      <c r="E339" t="s">
        <v>1878</v>
      </c>
      <c r="F339" t="s">
        <v>1889</v>
      </c>
      <c r="G339" s="7">
        <v>45800</v>
      </c>
      <c r="H339" t="s">
        <v>126</v>
      </c>
      <c r="I339" t="s">
        <v>607</v>
      </c>
      <c r="J339" t="s">
        <v>8</v>
      </c>
      <c r="K339">
        <f>INDEX('LAB PRICES'!$C$2:$F$12, MATCH(tblLabs[[#This Row],[Code]], 'LAB PRICES'!$A$2:$A$12, 0), MATCH(tblLabs[[#This Row],[Facility]], 'LAB PRICES'!$C$1:$F$1, 0))</f>
        <v>6</v>
      </c>
      <c r="L339">
        <f>_xlfn.XLOOKUP(
    tblLabs[[#This Row],[Code]],
    'LAB PRICES'!$A$2:$A$12,
    'LAB PRICES'!$G$2:$G$12
)</f>
        <v>23</v>
      </c>
    </row>
    <row r="340" spans="1:12" x14ac:dyDescent="0.25">
      <c r="A340" t="s">
        <v>476</v>
      </c>
      <c r="B340" t="s">
        <v>477</v>
      </c>
      <c r="C340">
        <v>12</v>
      </c>
      <c r="D340" t="s">
        <v>610</v>
      </c>
      <c r="E340" t="s">
        <v>237</v>
      </c>
      <c r="F340" t="s">
        <v>1890</v>
      </c>
      <c r="G340" s="7">
        <v>45801</v>
      </c>
      <c r="H340" t="s">
        <v>126</v>
      </c>
      <c r="I340" t="s">
        <v>607</v>
      </c>
      <c r="J340" t="s">
        <v>8</v>
      </c>
      <c r="K340">
        <f>INDEX('LAB PRICES'!$C$2:$F$12, MATCH(tblLabs[[#This Row],[Code]], 'LAB PRICES'!$A$2:$A$12, 0), MATCH(tblLabs[[#This Row],[Facility]], 'LAB PRICES'!$C$1:$F$1, 0))</f>
        <v>6</v>
      </c>
      <c r="L340">
        <f>_xlfn.XLOOKUP(
    tblLabs[[#This Row],[Code]],
    'LAB PRICES'!$A$2:$A$12,
    'LAB PRICES'!$G$2:$G$12
)</f>
        <v>27</v>
      </c>
    </row>
    <row r="341" spans="1:12" x14ac:dyDescent="0.25">
      <c r="A341" t="s">
        <v>476</v>
      </c>
      <c r="B341" t="s">
        <v>477</v>
      </c>
      <c r="C341">
        <v>5</v>
      </c>
      <c r="D341" t="s">
        <v>619</v>
      </c>
      <c r="E341" t="s">
        <v>14</v>
      </c>
      <c r="F341" t="s">
        <v>1891</v>
      </c>
      <c r="G341" s="7">
        <v>45808</v>
      </c>
      <c r="H341" t="s">
        <v>71</v>
      </c>
      <c r="I341" t="s">
        <v>615</v>
      </c>
      <c r="J341" t="s">
        <v>8</v>
      </c>
      <c r="K341">
        <f>INDEX('LAB PRICES'!$C$2:$F$12, MATCH(tblLabs[[#This Row],[Code]], 'LAB PRICES'!$A$2:$A$12, 0), MATCH(tblLabs[[#This Row],[Facility]], 'LAB PRICES'!$C$1:$F$1, 0))</f>
        <v>40</v>
      </c>
      <c r="L341">
        <f>_xlfn.XLOOKUP(
    tblLabs[[#This Row],[Code]],
    'LAB PRICES'!$A$2:$A$12,
    'LAB PRICES'!$G$2:$G$12
)</f>
        <v>100</v>
      </c>
    </row>
    <row r="342" spans="1:12" x14ac:dyDescent="0.25">
      <c r="A342" t="s">
        <v>476</v>
      </c>
      <c r="B342" t="s">
        <v>477</v>
      </c>
      <c r="C342">
        <v>14</v>
      </c>
      <c r="D342" t="s">
        <v>614</v>
      </c>
      <c r="E342" t="s">
        <v>1878</v>
      </c>
      <c r="F342" t="s">
        <v>1889</v>
      </c>
      <c r="G342" s="7">
        <v>45808</v>
      </c>
      <c r="H342" t="s">
        <v>71</v>
      </c>
      <c r="I342" t="s">
        <v>615</v>
      </c>
      <c r="J342" t="s">
        <v>8</v>
      </c>
      <c r="K342">
        <f>INDEX('LAB PRICES'!$C$2:$F$12, MATCH(tblLabs[[#This Row],[Code]], 'LAB PRICES'!$A$2:$A$12, 0), MATCH(tblLabs[[#This Row],[Facility]], 'LAB PRICES'!$C$1:$F$1, 0))</f>
        <v>6</v>
      </c>
      <c r="L342">
        <f>_xlfn.XLOOKUP(
    tblLabs[[#This Row],[Code]],
    'LAB PRICES'!$A$2:$A$12,
    'LAB PRICES'!$G$2:$G$12
)</f>
        <v>23</v>
      </c>
    </row>
    <row r="343" spans="1:12" x14ac:dyDescent="0.25">
      <c r="A343" t="s">
        <v>476</v>
      </c>
      <c r="B343" t="s">
        <v>477</v>
      </c>
      <c r="C343">
        <v>12</v>
      </c>
      <c r="D343" t="s">
        <v>616</v>
      </c>
      <c r="E343" t="s">
        <v>237</v>
      </c>
      <c r="F343" t="s">
        <v>1890</v>
      </c>
      <c r="G343" s="7">
        <v>45808</v>
      </c>
      <c r="H343" t="s">
        <v>71</v>
      </c>
      <c r="I343" t="s">
        <v>615</v>
      </c>
      <c r="J343" t="s">
        <v>8</v>
      </c>
      <c r="K343">
        <f>INDEX('LAB PRICES'!$C$2:$F$12, MATCH(tblLabs[[#This Row],[Code]], 'LAB PRICES'!$A$2:$A$12, 0), MATCH(tblLabs[[#This Row],[Facility]], 'LAB PRICES'!$C$1:$F$1, 0))</f>
        <v>6</v>
      </c>
      <c r="L343">
        <f>_xlfn.XLOOKUP(
    tblLabs[[#This Row],[Code]],
    'LAB PRICES'!$A$2:$A$12,
    'LAB PRICES'!$G$2:$G$12
)</f>
        <v>27</v>
      </c>
    </row>
    <row r="344" spans="1:12" x14ac:dyDescent="0.25">
      <c r="A344" t="s">
        <v>476</v>
      </c>
      <c r="B344" t="s">
        <v>477</v>
      </c>
      <c r="C344">
        <v>5</v>
      </c>
      <c r="D344" t="s">
        <v>625</v>
      </c>
      <c r="E344" t="s">
        <v>14</v>
      </c>
      <c r="F344" t="s">
        <v>1891</v>
      </c>
      <c r="G344" s="7">
        <v>45822</v>
      </c>
      <c r="H344" t="s">
        <v>71</v>
      </c>
      <c r="I344" t="s">
        <v>622</v>
      </c>
      <c r="J344" t="s">
        <v>8</v>
      </c>
      <c r="K344">
        <f>INDEX('LAB PRICES'!$C$2:$F$12, MATCH(tblLabs[[#This Row],[Code]], 'LAB PRICES'!$A$2:$A$12, 0), MATCH(tblLabs[[#This Row],[Facility]], 'LAB PRICES'!$C$1:$F$1, 0))</f>
        <v>40</v>
      </c>
      <c r="L344">
        <f>_xlfn.XLOOKUP(
    tblLabs[[#This Row],[Code]],
    'LAB PRICES'!$A$2:$A$12,
    'LAB PRICES'!$G$2:$G$12
)</f>
        <v>100</v>
      </c>
    </row>
    <row r="345" spans="1:12" x14ac:dyDescent="0.25">
      <c r="A345" t="s">
        <v>476</v>
      </c>
      <c r="B345" t="s">
        <v>477</v>
      </c>
      <c r="C345">
        <v>12</v>
      </c>
      <c r="D345" t="s">
        <v>621</v>
      </c>
      <c r="E345" t="s">
        <v>1878</v>
      </c>
      <c r="F345" t="s">
        <v>1889</v>
      </c>
      <c r="G345" s="7">
        <v>45821</v>
      </c>
      <c r="H345" t="s">
        <v>71</v>
      </c>
      <c r="I345" t="s">
        <v>622</v>
      </c>
      <c r="J345" t="s">
        <v>8</v>
      </c>
      <c r="K345">
        <f>INDEX('LAB PRICES'!$C$2:$F$12, MATCH(tblLabs[[#This Row],[Code]], 'LAB PRICES'!$A$2:$A$12, 0), MATCH(tblLabs[[#This Row],[Facility]], 'LAB PRICES'!$C$1:$F$1, 0))</f>
        <v>6</v>
      </c>
      <c r="L345">
        <f>_xlfn.XLOOKUP(
    tblLabs[[#This Row],[Code]],
    'LAB PRICES'!$A$2:$A$12,
    'LAB PRICES'!$G$2:$G$12
)</f>
        <v>23</v>
      </c>
    </row>
    <row r="346" spans="1:12" x14ac:dyDescent="0.25">
      <c r="A346" t="s">
        <v>476</v>
      </c>
      <c r="B346" t="s">
        <v>477</v>
      </c>
      <c r="C346">
        <v>8</v>
      </c>
      <c r="D346" t="s">
        <v>623</v>
      </c>
      <c r="E346" t="s">
        <v>1878</v>
      </c>
      <c r="F346" t="s">
        <v>1889</v>
      </c>
      <c r="G346" s="7">
        <v>45822</v>
      </c>
      <c r="H346" t="s">
        <v>71</v>
      </c>
      <c r="I346" t="s">
        <v>622</v>
      </c>
      <c r="J346" t="s">
        <v>8</v>
      </c>
      <c r="K346">
        <f>INDEX('LAB PRICES'!$C$2:$F$12, MATCH(tblLabs[[#This Row],[Code]], 'LAB PRICES'!$A$2:$A$12, 0), MATCH(tblLabs[[#This Row],[Facility]], 'LAB PRICES'!$C$1:$F$1, 0))</f>
        <v>6</v>
      </c>
      <c r="L346">
        <f>_xlfn.XLOOKUP(
    tblLabs[[#This Row],[Code]],
    'LAB PRICES'!$A$2:$A$12,
    'LAB PRICES'!$G$2:$G$12
)</f>
        <v>23</v>
      </c>
    </row>
    <row r="347" spans="1:12" x14ac:dyDescent="0.25">
      <c r="A347" t="s">
        <v>476</v>
      </c>
      <c r="B347" t="s">
        <v>477</v>
      </c>
      <c r="C347">
        <v>12</v>
      </c>
      <c r="D347" t="s">
        <v>624</v>
      </c>
      <c r="E347" t="s">
        <v>237</v>
      </c>
      <c r="F347" t="s">
        <v>1890</v>
      </c>
      <c r="G347" s="7">
        <v>45822</v>
      </c>
      <c r="H347" t="s">
        <v>71</v>
      </c>
      <c r="I347" t="s">
        <v>622</v>
      </c>
      <c r="J347" t="s">
        <v>8</v>
      </c>
      <c r="K347">
        <f>INDEX('LAB PRICES'!$C$2:$F$12, MATCH(tblLabs[[#This Row],[Code]], 'LAB PRICES'!$A$2:$A$12, 0), MATCH(tblLabs[[#This Row],[Facility]], 'LAB PRICES'!$C$1:$F$1, 0))</f>
        <v>6</v>
      </c>
      <c r="L347">
        <f>_xlfn.XLOOKUP(
    tblLabs[[#This Row],[Code]],
    'LAB PRICES'!$A$2:$A$12,
    'LAB PRICES'!$G$2:$G$12
)</f>
        <v>27</v>
      </c>
    </row>
    <row r="348" spans="1:12" x14ac:dyDescent="0.25">
      <c r="A348" t="s">
        <v>666</v>
      </c>
      <c r="B348" t="s">
        <v>431</v>
      </c>
      <c r="C348">
        <v>12</v>
      </c>
      <c r="D348" t="s">
        <v>670</v>
      </c>
      <c r="E348" t="s">
        <v>237</v>
      </c>
      <c r="F348" t="s">
        <v>1890</v>
      </c>
      <c r="G348" s="7">
        <v>45520</v>
      </c>
      <c r="H348" t="s">
        <v>118</v>
      </c>
      <c r="I348" t="s">
        <v>669</v>
      </c>
      <c r="J348" t="s">
        <v>700</v>
      </c>
      <c r="K348">
        <f>INDEX('LAB PRICES'!$C$2:$F$12, MATCH(tblLabs[[#This Row],[Code]], 'LAB PRICES'!$A$2:$A$12, 0), MATCH(tblLabs[[#This Row],[Facility]], 'LAB PRICES'!$C$1:$F$1, 0))</f>
        <v>6</v>
      </c>
      <c r="L348">
        <f>_xlfn.XLOOKUP(
    tblLabs[[#This Row],[Code]],
    'LAB PRICES'!$A$2:$A$12,
    'LAB PRICES'!$G$2:$G$12
)</f>
        <v>27</v>
      </c>
    </row>
    <row r="349" spans="1:12" x14ac:dyDescent="0.25">
      <c r="A349" t="s">
        <v>666</v>
      </c>
      <c r="B349" t="s">
        <v>431</v>
      </c>
      <c r="C349">
        <v>12</v>
      </c>
      <c r="D349" t="s">
        <v>671</v>
      </c>
      <c r="E349" t="s">
        <v>1878</v>
      </c>
      <c r="F349" t="s">
        <v>1889</v>
      </c>
      <c r="G349" s="7">
        <v>45520</v>
      </c>
      <c r="H349" t="s">
        <v>118</v>
      </c>
      <c r="I349" t="s">
        <v>672</v>
      </c>
      <c r="J349" t="s">
        <v>700</v>
      </c>
      <c r="K349">
        <f>INDEX('LAB PRICES'!$C$2:$F$12, MATCH(tblLabs[[#This Row],[Code]], 'LAB PRICES'!$A$2:$A$12, 0), MATCH(tblLabs[[#This Row],[Facility]], 'LAB PRICES'!$C$1:$F$1, 0))</f>
        <v>6</v>
      </c>
      <c r="L349">
        <f>_xlfn.XLOOKUP(
    tblLabs[[#This Row],[Code]],
    'LAB PRICES'!$A$2:$A$12,
    'LAB PRICES'!$G$2:$G$12
)</f>
        <v>23</v>
      </c>
    </row>
    <row r="350" spans="1:12" x14ac:dyDescent="0.25">
      <c r="A350" t="s">
        <v>666</v>
      </c>
      <c r="B350" t="s">
        <v>431</v>
      </c>
      <c r="C350">
        <v>9</v>
      </c>
      <c r="D350" t="s">
        <v>673</v>
      </c>
      <c r="E350" t="s">
        <v>1878</v>
      </c>
      <c r="F350" t="s">
        <v>1889</v>
      </c>
      <c r="G350" s="7">
        <v>45520</v>
      </c>
      <c r="H350" t="s">
        <v>118</v>
      </c>
      <c r="I350" t="s">
        <v>672</v>
      </c>
      <c r="J350" t="s">
        <v>700</v>
      </c>
      <c r="K350">
        <f>INDEX('LAB PRICES'!$C$2:$F$12, MATCH(tblLabs[[#This Row],[Code]], 'LAB PRICES'!$A$2:$A$12, 0), MATCH(tblLabs[[#This Row],[Facility]], 'LAB PRICES'!$C$1:$F$1, 0))</f>
        <v>6</v>
      </c>
      <c r="L350">
        <f>_xlfn.XLOOKUP(
    tblLabs[[#This Row],[Code]],
    'LAB PRICES'!$A$2:$A$12,
    'LAB PRICES'!$G$2:$G$12
)</f>
        <v>23</v>
      </c>
    </row>
    <row r="351" spans="1:12" x14ac:dyDescent="0.25">
      <c r="A351" t="s">
        <v>666</v>
      </c>
      <c r="B351" t="s">
        <v>431</v>
      </c>
      <c r="C351">
        <v>5</v>
      </c>
      <c r="D351" t="s">
        <v>674</v>
      </c>
      <c r="E351" t="s">
        <v>14</v>
      </c>
      <c r="F351" t="s">
        <v>1891</v>
      </c>
      <c r="G351" s="7">
        <v>45521</v>
      </c>
      <c r="H351" t="s">
        <v>118</v>
      </c>
      <c r="I351" t="s">
        <v>675</v>
      </c>
      <c r="J351" t="s">
        <v>700</v>
      </c>
      <c r="K351">
        <f>INDEX('LAB PRICES'!$C$2:$F$12, MATCH(tblLabs[[#This Row],[Code]], 'LAB PRICES'!$A$2:$A$12, 0), MATCH(tblLabs[[#This Row],[Facility]], 'LAB PRICES'!$C$1:$F$1, 0))</f>
        <v>40</v>
      </c>
      <c r="L351">
        <f>_xlfn.XLOOKUP(
    tblLabs[[#This Row],[Code]],
    'LAB PRICES'!$A$2:$A$12,
    'LAB PRICES'!$G$2:$G$12
)</f>
        <v>100</v>
      </c>
    </row>
    <row r="352" spans="1:12" x14ac:dyDescent="0.25">
      <c r="A352" t="s">
        <v>666</v>
      </c>
      <c r="B352" t="s">
        <v>431</v>
      </c>
      <c r="C352">
        <v>18</v>
      </c>
      <c r="D352" t="s">
        <v>676</v>
      </c>
      <c r="E352" t="s">
        <v>1878</v>
      </c>
      <c r="F352" t="s">
        <v>1889</v>
      </c>
      <c r="G352" s="7">
        <v>45527</v>
      </c>
      <c r="H352" t="s">
        <v>126</v>
      </c>
      <c r="I352" t="s">
        <v>677</v>
      </c>
      <c r="J352" t="s">
        <v>8</v>
      </c>
      <c r="K352">
        <f>INDEX('LAB PRICES'!$C$2:$F$12, MATCH(tblLabs[[#This Row],[Code]], 'LAB PRICES'!$A$2:$A$12, 0), MATCH(tblLabs[[#This Row],[Facility]], 'LAB PRICES'!$C$1:$F$1, 0))</f>
        <v>6</v>
      </c>
      <c r="L352">
        <f>_xlfn.XLOOKUP(
    tblLabs[[#This Row],[Code]],
    'LAB PRICES'!$A$2:$A$12,
    'LAB PRICES'!$G$2:$G$12
)</f>
        <v>23</v>
      </c>
    </row>
    <row r="353" spans="1:12" x14ac:dyDescent="0.25">
      <c r="A353" t="s">
        <v>666</v>
      </c>
      <c r="B353" t="s">
        <v>431</v>
      </c>
      <c r="C353">
        <v>12</v>
      </c>
      <c r="D353" t="s">
        <v>678</v>
      </c>
      <c r="E353" t="s">
        <v>1878</v>
      </c>
      <c r="F353" t="s">
        <v>1889</v>
      </c>
      <c r="G353" s="7">
        <v>45527</v>
      </c>
      <c r="H353" t="s">
        <v>126</v>
      </c>
      <c r="I353" t="s">
        <v>677</v>
      </c>
      <c r="J353" t="s">
        <v>8</v>
      </c>
      <c r="K353">
        <f>INDEX('LAB PRICES'!$C$2:$F$12, MATCH(tblLabs[[#This Row],[Code]], 'LAB PRICES'!$A$2:$A$12, 0), MATCH(tblLabs[[#This Row],[Facility]], 'LAB PRICES'!$C$1:$F$1, 0))</f>
        <v>6</v>
      </c>
      <c r="L353">
        <f>_xlfn.XLOOKUP(
    tblLabs[[#This Row],[Code]],
    'LAB PRICES'!$A$2:$A$12,
    'LAB PRICES'!$G$2:$G$12
)</f>
        <v>23</v>
      </c>
    </row>
    <row r="354" spans="1:12" x14ac:dyDescent="0.25">
      <c r="A354" t="s">
        <v>666</v>
      </c>
      <c r="B354" t="s">
        <v>431</v>
      </c>
      <c r="C354">
        <v>12</v>
      </c>
      <c r="D354" t="s">
        <v>683</v>
      </c>
      <c r="E354" t="s">
        <v>237</v>
      </c>
      <c r="F354" t="s">
        <v>1890</v>
      </c>
      <c r="G354" s="7">
        <v>45528</v>
      </c>
      <c r="H354" t="s">
        <v>126</v>
      </c>
      <c r="I354" t="s">
        <v>677</v>
      </c>
      <c r="J354" t="s">
        <v>8</v>
      </c>
      <c r="K354">
        <f>INDEX('LAB PRICES'!$C$2:$F$12, MATCH(tblLabs[[#This Row],[Code]], 'LAB PRICES'!$A$2:$A$12, 0), MATCH(tblLabs[[#This Row],[Facility]], 'LAB PRICES'!$C$1:$F$1, 0))</f>
        <v>6</v>
      </c>
      <c r="L354">
        <f>_xlfn.XLOOKUP(
    tblLabs[[#This Row],[Code]],
    'LAB PRICES'!$A$2:$A$12,
    'LAB PRICES'!$G$2:$G$12
)</f>
        <v>27</v>
      </c>
    </row>
    <row r="355" spans="1:12" x14ac:dyDescent="0.25">
      <c r="A355" t="s">
        <v>666</v>
      </c>
      <c r="B355" t="s">
        <v>431</v>
      </c>
      <c r="C355">
        <v>12</v>
      </c>
      <c r="D355" t="s">
        <v>679</v>
      </c>
      <c r="E355" t="s">
        <v>1878</v>
      </c>
      <c r="F355" t="s">
        <v>1889</v>
      </c>
      <c r="G355" s="7">
        <v>45527</v>
      </c>
      <c r="H355" t="s">
        <v>136</v>
      </c>
      <c r="I355" t="s">
        <v>669</v>
      </c>
      <c r="J355" t="s">
        <v>8</v>
      </c>
      <c r="K355">
        <f>INDEX('LAB PRICES'!$C$2:$F$12, MATCH(tblLabs[[#This Row],[Code]], 'LAB PRICES'!$A$2:$A$12, 0), MATCH(tblLabs[[#This Row],[Facility]], 'LAB PRICES'!$C$1:$F$1, 0))</f>
        <v>6</v>
      </c>
      <c r="L355">
        <f>_xlfn.XLOOKUP(
    tblLabs[[#This Row],[Code]],
    'LAB PRICES'!$A$2:$A$12,
    'LAB PRICES'!$G$2:$G$12
)</f>
        <v>23</v>
      </c>
    </row>
    <row r="356" spans="1:12" x14ac:dyDescent="0.25">
      <c r="A356" t="s">
        <v>666</v>
      </c>
      <c r="B356" t="s">
        <v>431</v>
      </c>
      <c r="C356">
        <v>12</v>
      </c>
      <c r="D356" t="s">
        <v>680</v>
      </c>
      <c r="E356" t="s">
        <v>1878</v>
      </c>
      <c r="F356" t="s">
        <v>1889</v>
      </c>
      <c r="G356" s="7">
        <v>45527</v>
      </c>
      <c r="H356" t="s">
        <v>136</v>
      </c>
      <c r="I356" t="s">
        <v>681</v>
      </c>
      <c r="J356" t="s">
        <v>8</v>
      </c>
      <c r="K356">
        <f>INDEX('LAB PRICES'!$C$2:$F$12, MATCH(tblLabs[[#This Row],[Code]], 'LAB PRICES'!$A$2:$A$12, 0), MATCH(tblLabs[[#This Row],[Facility]], 'LAB PRICES'!$C$1:$F$1, 0))</f>
        <v>6</v>
      </c>
      <c r="L356">
        <f>_xlfn.XLOOKUP(
    tblLabs[[#This Row],[Code]],
    'LAB PRICES'!$A$2:$A$12,
    'LAB PRICES'!$G$2:$G$12
)</f>
        <v>23</v>
      </c>
    </row>
    <row r="357" spans="1:12" x14ac:dyDescent="0.25">
      <c r="A357" t="s">
        <v>666</v>
      </c>
      <c r="B357" t="s">
        <v>431</v>
      </c>
      <c r="C357">
        <v>18</v>
      </c>
      <c r="D357" t="s">
        <v>682</v>
      </c>
      <c r="E357" t="s">
        <v>1878</v>
      </c>
      <c r="F357" t="s">
        <v>1889</v>
      </c>
      <c r="G357" s="7">
        <v>45527</v>
      </c>
      <c r="H357" t="s">
        <v>136</v>
      </c>
      <c r="I357" t="s">
        <v>681</v>
      </c>
      <c r="J357" t="s">
        <v>8</v>
      </c>
      <c r="K357">
        <f>INDEX('LAB PRICES'!$C$2:$F$12, MATCH(tblLabs[[#This Row],[Code]], 'LAB PRICES'!$A$2:$A$12, 0), MATCH(tblLabs[[#This Row],[Facility]], 'LAB PRICES'!$C$1:$F$1, 0))</f>
        <v>6</v>
      </c>
      <c r="L357">
        <f>_xlfn.XLOOKUP(
    tblLabs[[#This Row],[Code]],
    'LAB PRICES'!$A$2:$A$12,
    'LAB PRICES'!$G$2:$G$12
)</f>
        <v>23</v>
      </c>
    </row>
    <row r="358" spans="1:12" x14ac:dyDescent="0.25">
      <c r="A358" t="s">
        <v>666</v>
      </c>
      <c r="B358" t="s">
        <v>431</v>
      </c>
      <c r="C358">
        <v>12</v>
      </c>
      <c r="D358" t="s">
        <v>684</v>
      </c>
      <c r="E358" t="s">
        <v>237</v>
      </c>
      <c r="F358" t="s">
        <v>1890</v>
      </c>
      <c r="G358" s="7">
        <v>45528</v>
      </c>
      <c r="H358" t="s">
        <v>136</v>
      </c>
      <c r="I358" t="s">
        <v>681</v>
      </c>
      <c r="J358" t="s">
        <v>8</v>
      </c>
      <c r="K358">
        <f>INDEX('LAB PRICES'!$C$2:$F$12, MATCH(tblLabs[[#This Row],[Code]], 'LAB PRICES'!$A$2:$A$12, 0), MATCH(tblLabs[[#This Row],[Facility]], 'LAB PRICES'!$C$1:$F$1, 0))</f>
        <v>6</v>
      </c>
      <c r="L358">
        <f>_xlfn.XLOOKUP(
    tblLabs[[#This Row],[Code]],
    'LAB PRICES'!$A$2:$A$12,
    'LAB PRICES'!$G$2:$G$12
)</f>
        <v>27</v>
      </c>
    </row>
    <row r="359" spans="1:12" x14ac:dyDescent="0.25">
      <c r="A359" t="s">
        <v>666</v>
      </c>
      <c r="B359" t="s">
        <v>431</v>
      </c>
      <c r="C359">
        <v>5</v>
      </c>
      <c r="D359" t="s">
        <v>685</v>
      </c>
      <c r="E359" t="s">
        <v>14</v>
      </c>
      <c r="F359" t="s">
        <v>1891</v>
      </c>
      <c r="G359" s="7">
        <v>45528</v>
      </c>
      <c r="H359" t="s">
        <v>126</v>
      </c>
      <c r="I359" t="s">
        <v>677</v>
      </c>
      <c r="J359" t="s">
        <v>8</v>
      </c>
      <c r="K359">
        <f>INDEX('LAB PRICES'!$C$2:$F$12, MATCH(tblLabs[[#This Row],[Code]], 'LAB PRICES'!$A$2:$A$12, 0), MATCH(tblLabs[[#This Row],[Facility]], 'LAB PRICES'!$C$1:$F$1, 0))</f>
        <v>40</v>
      </c>
      <c r="L359">
        <f>_xlfn.XLOOKUP(
    tblLabs[[#This Row],[Code]],
    'LAB PRICES'!$A$2:$A$12,
    'LAB PRICES'!$G$2:$G$12
)</f>
        <v>100</v>
      </c>
    </row>
    <row r="360" spans="1:12" x14ac:dyDescent="0.25">
      <c r="A360" t="s">
        <v>666</v>
      </c>
      <c r="B360" t="s">
        <v>431</v>
      </c>
      <c r="C360">
        <v>5</v>
      </c>
      <c r="D360" t="s">
        <v>686</v>
      </c>
      <c r="E360" t="s">
        <v>14</v>
      </c>
      <c r="F360" t="s">
        <v>1891</v>
      </c>
      <c r="G360" s="7">
        <v>45528</v>
      </c>
      <c r="H360" t="s">
        <v>136</v>
      </c>
      <c r="I360" t="s">
        <v>681</v>
      </c>
      <c r="J360" t="s">
        <v>8</v>
      </c>
      <c r="K360">
        <f>INDEX('LAB PRICES'!$C$2:$F$12, MATCH(tblLabs[[#This Row],[Code]], 'LAB PRICES'!$A$2:$A$12, 0), MATCH(tblLabs[[#This Row],[Facility]], 'LAB PRICES'!$C$1:$F$1, 0))</f>
        <v>40</v>
      </c>
      <c r="L360">
        <f>_xlfn.XLOOKUP(
    tblLabs[[#This Row],[Code]],
    'LAB PRICES'!$A$2:$A$12,
    'LAB PRICES'!$G$2:$G$12
)</f>
        <v>100</v>
      </c>
    </row>
    <row r="361" spans="1:12" x14ac:dyDescent="0.25">
      <c r="A361" t="s">
        <v>666</v>
      </c>
      <c r="B361" t="s">
        <v>431</v>
      </c>
      <c r="C361">
        <v>12</v>
      </c>
      <c r="D361" t="s">
        <v>667</v>
      </c>
      <c r="E361" t="s">
        <v>1878</v>
      </c>
      <c r="F361" t="s">
        <v>1889</v>
      </c>
      <c r="G361" s="7">
        <v>45519</v>
      </c>
      <c r="H361" t="s">
        <v>668</v>
      </c>
      <c r="I361" t="s">
        <v>669</v>
      </c>
      <c r="J361" t="s">
        <v>8</v>
      </c>
      <c r="K361">
        <f>INDEX('LAB PRICES'!$C$2:$F$12, MATCH(tblLabs[[#This Row],[Code]], 'LAB PRICES'!$A$2:$A$12, 0), MATCH(tblLabs[[#This Row],[Facility]], 'LAB PRICES'!$C$1:$F$1, 0))</f>
        <v>6</v>
      </c>
      <c r="L361">
        <f>_xlfn.XLOOKUP(
    tblLabs[[#This Row],[Code]],
    'LAB PRICES'!$A$2:$A$12,
    'LAB PRICES'!$G$2:$G$12
)</f>
        <v>23</v>
      </c>
    </row>
    <row r="362" spans="1:12" x14ac:dyDescent="0.25">
      <c r="A362" t="s">
        <v>666</v>
      </c>
      <c r="B362" t="s">
        <v>431</v>
      </c>
      <c r="C362">
        <v>12</v>
      </c>
      <c r="D362" t="s">
        <v>689</v>
      </c>
      <c r="E362" t="s">
        <v>237</v>
      </c>
      <c r="F362" t="s">
        <v>1890</v>
      </c>
      <c r="G362" s="7">
        <v>45633</v>
      </c>
      <c r="H362" t="s">
        <v>136</v>
      </c>
      <c r="I362" t="s">
        <v>688</v>
      </c>
      <c r="J362" t="s">
        <v>26</v>
      </c>
      <c r="K362">
        <f>INDEX('LAB PRICES'!$C$2:$F$12, MATCH(tblLabs[[#This Row],[Code]], 'LAB PRICES'!$A$2:$A$12, 0), MATCH(tblLabs[[#This Row],[Facility]], 'LAB PRICES'!$C$1:$F$1, 0))</f>
        <v>5</v>
      </c>
      <c r="L362">
        <f>_xlfn.XLOOKUP(
    tblLabs[[#This Row],[Code]],
    'LAB PRICES'!$A$2:$A$12,
    'LAB PRICES'!$G$2:$G$12
)</f>
        <v>27</v>
      </c>
    </row>
    <row r="363" spans="1:12" x14ac:dyDescent="0.25">
      <c r="A363" t="s">
        <v>666</v>
      </c>
      <c r="B363" t="s">
        <v>431</v>
      </c>
      <c r="C363">
        <v>18</v>
      </c>
      <c r="D363" t="s">
        <v>687</v>
      </c>
      <c r="E363" t="s">
        <v>1878</v>
      </c>
      <c r="F363" t="s">
        <v>1889</v>
      </c>
      <c r="G363" s="7">
        <v>45632</v>
      </c>
      <c r="H363" t="s">
        <v>136</v>
      </c>
      <c r="I363" t="s">
        <v>688</v>
      </c>
      <c r="J363" t="s">
        <v>26</v>
      </c>
      <c r="K363">
        <f>INDEX('LAB PRICES'!$C$2:$F$12, MATCH(tblLabs[[#This Row],[Code]], 'LAB PRICES'!$A$2:$A$12, 0), MATCH(tblLabs[[#This Row],[Facility]], 'LAB PRICES'!$C$1:$F$1, 0))</f>
        <v>5</v>
      </c>
      <c r="L363">
        <f>_xlfn.XLOOKUP(
    tblLabs[[#This Row],[Code]],
    'LAB PRICES'!$A$2:$A$12,
    'LAB PRICES'!$G$2:$G$12
)</f>
        <v>23</v>
      </c>
    </row>
    <row r="364" spans="1:12" x14ac:dyDescent="0.25">
      <c r="A364" t="s">
        <v>666</v>
      </c>
      <c r="B364" t="s">
        <v>431</v>
      </c>
      <c r="C364">
        <v>10</v>
      </c>
      <c r="D364" t="s">
        <v>690</v>
      </c>
      <c r="E364" t="s">
        <v>14</v>
      </c>
      <c r="F364" t="s">
        <v>1891</v>
      </c>
      <c r="G364" s="7">
        <v>45633</v>
      </c>
      <c r="H364" t="s">
        <v>136</v>
      </c>
      <c r="I364" t="s">
        <v>688</v>
      </c>
      <c r="J364" t="s">
        <v>26</v>
      </c>
      <c r="K364">
        <f>INDEX('LAB PRICES'!$C$2:$F$12, MATCH(tblLabs[[#This Row],[Code]], 'LAB PRICES'!$A$2:$A$12, 0), MATCH(tblLabs[[#This Row],[Facility]], 'LAB PRICES'!$C$1:$F$1, 0))</f>
        <v>30</v>
      </c>
      <c r="L364">
        <f>_xlfn.XLOOKUP(
    tblLabs[[#This Row],[Code]],
    'LAB PRICES'!$A$2:$A$12,
    'LAB PRICES'!$G$2:$G$12
)</f>
        <v>100</v>
      </c>
    </row>
    <row r="365" spans="1:12" x14ac:dyDescent="0.25">
      <c r="A365" t="s">
        <v>666</v>
      </c>
      <c r="B365" t="s">
        <v>431</v>
      </c>
      <c r="C365">
        <v>7</v>
      </c>
      <c r="D365" t="s">
        <v>696</v>
      </c>
      <c r="E365" t="s">
        <v>237</v>
      </c>
      <c r="F365" t="s">
        <v>1890</v>
      </c>
      <c r="G365" s="7">
        <v>45640</v>
      </c>
      <c r="H365" t="s">
        <v>126</v>
      </c>
      <c r="I365" t="s">
        <v>693</v>
      </c>
      <c r="J365" t="s">
        <v>26</v>
      </c>
      <c r="K365">
        <f>INDEX('LAB PRICES'!$C$2:$F$12, MATCH(tblLabs[[#This Row],[Code]], 'LAB PRICES'!$A$2:$A$12, 0), MATCH(tblLabs[[#This Row],[Facility]], 'LAB PRICES'!$C$1:$F$1, 0))</f>
        <v>5</v>
      </c>
      <c r="L365">
        <f>_xlfn.XLOOKUP(
    tblLabs[[#This Row],[Code]],
    'LAB PRICES'!$A$2:$A$12,
    'LAB PRICES'!$G$2:$G$12
)</f>
        <v>27</v>
      </c>
    </row>
    <row r="366" spans="1:12" x14ac:dyDescent="0.25">
      <c r="A366" t="s">
        <v>666</v>
      </c>
      <c r="B366" t="s">
        <v>431</v>
      </c>
      <c r="C366">
        <v>5</v>
      </c>
      <c r="D366" t="s">
        <v>697</v>
      </c>
      <c r="E366" t="s">
        <v>14</v>
      </c>
      <c r="F366" t="s">
        <v>1891</v>
      </c>
      <c r="G366" s="7">
        <v>45640</v>
      </c>
      <c r="H366" t="s">
        <v>25</v>
      </c>
      <c r="I366" t="s">
        <v>272</v>
      </c>
      <c r="J366" t="s">
        <v>26</v>
      </c>
      <c r="K366">
        <f>INDEX('LAB PRICES'!$C$2:$F$12, MATCH(tblLabs[[#This Row],[Code]], 'LAB PRICES'!$A$2:$A$12, 0), MATCH(tblLabs[[#This Row],[Facility]], 'LAB PRICES'!$C$1:$F$1, 0))</f>
        <v>30</v>
      </c>
      <c r="L366">
        <f>_xlfn.XLOOKUP(
    tblLabs[[#This Row],[Code]],
    'LAB PRICES'!$A$2:$A$12,
    'LAB PRICES'!$G$2:$G$12
)</f>
        <v>100</v>
      </c>
    </row>
    <row r="367" spans="1:12" x14ac:dyDescent="0.25">
      <c r="A367" t="s">
        <v>666</v>
      </c>
      <c r="B367" t="s">
        <v>431</v>
      </c>
      <c r="C367">
        <v>5</v>
      </c>
      <c r="D367" t="s">
        <v>698</v>
      </c>
      <c r="E367" t="s">
        <v>14</v>
      </c>
      <c r="F367" t="s">
        <v>1891</v>
      </c>
      <c r="G367" s="7">
        <v>45640</v>
      </c>
      <c r="H367" t="s">
        <v>126</v>
      </c>
      <c r="I367" t="s">
        <v>693</v>
      </c>
      <c r="J367" t="s">
        <v>26</v>
      </c>
      <c r="K367">
        <f>INDEX('LAB PRICES'!$C$2:$F$12, MATCH(tblLabs[[#This Row],[Code]], 'LAB PRICES'!$A$2:$A$12, 0), MATCH(tblLabs[[#This Row],[Facility]], 'LAB PRICES'!$C$1:$F$1, 0))</f>
        <v>30</v>
      </c>
      <c r="L367">
        <f>_xlfn.XLOOKUP(
    tblLabs[[#This Row],[Code]],
    'LAB PRICES'!$A$2:$A$12,
    'LAB PRICES'!$G$2:$G$12
)</f>
        <v>100</v>
      </c>
    </row>
    <row r="368" spans="1:12" x14ac:dyDescent="0.25">
      <c r="A368" t="s">
        <v>666</v>
      </c>
      <c r="B368" t="s">
        <v>431</v>
      </c>
      <c r="C368">
        <v>12</v>
      </c>
      <c r="D368" t="s">
        <v>699</v>
      </c>
      <c r="E368" t="s">
        <v>237</v>
      </c>
      <c r="F368" t="s">
        <v>1890</v>
      </c>
      <c r="G368" s="7">
        <v>45640</v>
      </c>
      <c r="H368" t="s">
        <v>25</v>
      </c>
      <c r="I368" t="s">
        <v>272</v>
      </c>
      <c r="J368" t="s">
        <v>26</v>
      </c>
      <c r="K368">
        <f>INDEX('LAB PRICES'!$C$2:$F$12, MATCH(tblLabs[[#This Row],[Code]], 'LAB PRICES'!$A$2:$A$12, 0), MATCH(tblLabs[[#This Row],[Facility]], 'LAB PRICES'!$C$1:$F$1, 0))</f>
        <v>5</v>
      </c>
      <c r="L368">
        <f>_xlfn.XLOOKUP(
    tblLabs[[#This Row],[Code]],
    'LAB PRICES'!$A$2:$A$12,
    'LAB PRICES'!$G$2:$G$12
)</f>
        <v>27</v>
      </c>
    </row>
    <row r="369" spans="1:12" x14ac:dyDescent="0.25">
      <c r="A369" t="s">
        <v>666</v>
      </c>
      <c r="B369" t="s">
        <v>431</v>
      </c>
      <c r="C369">
        <v>16</v>
      </c>
      <c r="D369" t="s">
        <v>691</v>
      </c>
      <c r="E369" t="s">
        <v>1878</v>
      </c>
      <c r="F369" t="s">
        <v>1889</v>
      </c>
      <c r="G369" s="7">
        <v>45639</v>
      </c>
      <c r="H369" t="s">
        <v>25</v>
      </c>
      <c r="I369" t="s">
        <v>272</v>
      </c>
      <c r="J369" t="s">
        <v>26</v>
      </c>
      <c r="K369">
        <f>INDEX('LAB PRICES'!$C$2:$F$12, MATCH(tblLabs[[#This Row],[Code]], 'LAB PRICES'!$A$2:$A$12, 0), MATCH(tblLabs[[#This Row],[Facility]], 'LAB PRICES'!$C$1:$F$1, 0))</f>
        <v>5</v>
      </c>
      <c r="L369">
        <f>_xlfn.XLOOKUP(
    tblLabs[[#This Row],[Code]],
    'LAB PRICES'!$A$2:$A$12,
    'LAB PRICES'!$G$2:$G$12
)</f>
        <v>23</v>
      </c>
    </row>
    <row r="370" spans="1:12" x14ac:dyDescent="0.25">
      <c r="A370" t="s">
        <v>666</v>
      </c>
      <c r="B370" t="s">
        <v>431</v>
      </c>
      <c r="C370">
        <v>12</v>
      </c>
      <c r="D370" t="s">
        <v>692</v>
      </c>
      <c r="E370" t="s">
        <v>1878</v>
      </c>
      <c r="F370" t="s">
        <v>1889</v>
      </c>
      <c r="G370" s="7">
        <v>45639</v>
      </c>
      <c r="H370" t="s">
        <v>126</v>
      </c>
      <c r="I370" t="s">
        <v>693</v>
      </c>
      <c r="J370" t="s">
        <v>26</v>
      </c>
      <c r="K370">
        <f>INDEX('LAB PRICES'!$C$2:$F$12, MATCH(tblLabs[[#This Row],[Code]], 'LAB PRICES'!$A$2:$A$12, 0), MATCH(tblLabs[[#This Row],[Facility]], 'LAB PRICES'!$C$1:$F$1, 0))</f>
        <v>5</v>
      </c>
      <c r="L370">
        <f>_xlfn.XLOOKUP(
    tblLabs[[#This Row],[Code]],
    'LAB PRICES'!$A$2:$A$12,
    'LAB PRICES'!$G$2:$G$12
)</f>
        <v>23</v>
      </c>
    </row>
    <row r="371" spans="1:12" x14ac:dyDescent="0.25">
      <c r="A371" t="s">
        <v>666</v>
      </c>
      <c r="B371" t="s">
        <v>431</v>
      </c>
      <c r="C371">
        <v>12</v>
      </c>
      <c r="D371" t="s">
        <v>694</v>
      </c>
      <c r="E371" t="s">
        <v>1878</v>
      </c>
      <c r="F371" t="s">
        <v>1889</v>
      </c>
      <c r="G371" s="7">
        <v>45639</v>
      </c>
      <c r="H371" t="s">
        <v>25</v>
      </c>
      <c r="I371" t="s">
        <v>272</v>
      </c>
      <c r="J371" t="s">
        <v>26</v>
      </c>
      <c r="K371">
        <f>INDEX('LAB PRICES'!$C$2:$F$12, MATCH(tblLabs[[#This Row],[Code]], 'LAB PRICES'!$A$2:$A$12, 0), MATCH(tblLabs[[#This Row],[Facility]], 'LAB PRICES'!$C$1:$F$1, 0))</f>
        <v>5</v>
      </c>
      <c r="L371">
        <f>_xlfn.XLOOKUP(
    tblLabs[[#This Row],[Code]],
    'LAB PRICES'!$A$2:$A$12,
    'LAB PRICES'!$G$2:$G$12
)</f>
        <v>23</v>
      </c>
    </row>
    <row r="372" spans="1:12" x14ac:dyDescent="0.25">
      <c r="A372" t="s">
        <v>666</v>
      </c>
      <c r="B372" t="s">
        <v>431</v>
      </c>
      <c r="C372">
        <v>10</v>
      </c>
      <c r="D372" t="s">
        <v>695</v>
      </c>
      <c r="E372" t="s">
        <v>1878</v>
      </c>
      <c r="F372" t="s">
        <v>1889</v>
      </c>
      <c r="G372" s="7">
        <v>45639</v>
      </c>
      <c r="H372" t="s">
        <v>126</v>
      </c>
      <c r="I372" t="s">
        <v>693</v>
      </c>
      <c r="J372" t="s">
        <v>26</v>
      </c>
      <c r="K372">
        <f>INDEX('LAB PRICES'!$C$2:$F$12, MATCH(tblLabs[[#This Row],[Code]], 'LAB PRICES'!$A$2:$A$12, 0), MATCH(tblLabs[[#This Row],[Facility]], 'LAB PRICES'!$C$1:$F$1, 0))</f>
        <v>5</v>
      </c>
      <c r="L372">
        <f>_xlfn.XLOOKUP(
    tblLabs[[#This Row],[Code]],
    'LAB PRICES'!$A$2:$A$12,
    'LAB PRICES'!$G$2:$G$12
)</f>
        <v>23</v>
      </c>
    </row>
    <row r="373" spans="1:12" x14ac:dyDescent="0.25">
      <c r="A373" t="s">
        <v>195</v>
      </c>
      <c r="B373" t="s">
        <v>196</v>
      </c>
      <c r="C373">
        <v>5</v>
      </c>
      <c r="D373" t="s">
        <v>146</v>
      </c>
      <c r="E373" t="s">
        <v>14</v>
      </c>
      <c r="F373" t="s">
        <v>1891</v>
      </c>
      <c r="G373" s="7">
        <v>45507</v>
      </c>
      <c r="H373" t="s">
        <v>136</v>
      </c>
      <c r="I373" t="s">
        <v>139</v>
      </c>
      <c r="J373" t="s">
        <v>8</v>
      </c>
      <c r="K373">
        <f>INDEX('LAB PRICES'!$C$2:$F$12, MATCH(tblLabs[[#This Row],[Code]], 'LAB PRICES'!$A$2:$A$12, 0), MATCH(tblLabs[[#This Row],[Facility]], 'LAB PRICES'!$C$1:$F$1, 0))</f>
        <v>40</v>
      </c>
      <c r="L373">
        <f>_xlfn.XLOOKUP(
    tblLabs[[#This Row],[Code]],
    'LAB PRICES'!$A$2:$A$12,
    'LAB PRICES'!$G$2:$G$12
)</f>
        <v>100</v>
      </c>
    </row>
    <row r="374" spans="1:12" x14ac:dyDescent="0.25">
      <c r="A374" t="s">
        <v>195</v>
      </c>
      <c r="B374" t="s">
        <v>196</v>
      </c>
      <c r="C374">
        <v>5</v>
      </c>
      <c r="D374" t="s">
        <v>152</v>
      </c>
      <c r="E374" t="s">
        <v>14</v>
      </c>
      <c r="F374" t="s">
        <v>1891</v>
      </c>
      <c r="G374" s="7">
        <v>45508</v>
      </c>
      <c r="H374" t="s">
        <v>142</v>
      </c>
      <c r="I374" t="s">
        <v>143</v>
      </c>
      <c r="J374" t="s">
        <v>8</v>
      </c>
      <c r="K374">
        <f>INDEX('LAB PRICES'!$C$2:$F$12, MATCH(tblLabs[[#This Row],[Code]], 'LAB PRICES'!$A$2:$A$12, 0), MATCH(tblLabs[[#This Row],[Facility]], 'LAB PRICES'!$C$1:$F$1, 0))</f>
        <v>40</v>
      </c>
      <c r="L374">
        <f>_xlfn.XLOOKUP(
    tblLabs[[#This Row],[Code]],
    'LAB PRICES'!$A$2:$A$12,
    'LAB PRICES'!$G$2:$G$12
)</f>
        <v>100</v>
      </c>
    </row>
    <row r="375" spans="1:12" x14ac:dyDescent="0.25">
      <c r="A375" t="s">
        <v>195</v>
      </c>
      <c r="B375" t="s">
        <v>196</v>
      </c>
      <c r="C375">
        <v>5</v>
      </c>
      <c r="D375" t="s">
        <v>156</v>
      </c>
      <c r="E375" t="s">
        <v>14</v>
      </c>
      <c r="F375" t="s">
        <v>1891</v>
      </c>
      <c r="G375" s="7">
        <v>45509</v>
      </c>
      <c r="H375" t="s">
        <v>71</v>
      </c>
      <c r="I375" t="s">
        <v>151</v>
      </c>
      <c r="J375" t="s">
        <v>8</v>
      </c>
      <c r="K375">
        <f>INDEX('LAB PRICES'!$C$2:$F$12, MATCH(tblLabs[[#This Row],[Code]], 'LAB PRICES'!$A$2:$A$12, 0), MATCH(tblLabs[[#This Row],[Facility]], 'LAB PRICES'!$C$1:$F$1, 0))</f>
        <v>40</v>
      </c>
      <c r="L375">
        <f>_xlfn.XLOOKUP(
    tblLabs[[#This Row],[Code]],
    'LAB PRICES'!$A$2:$A$12,
    'LAB PRICES'!$G$2:$G$12
)</f>
        <v>100</v>
      </c>
    </row>
    <row r="376" spans="1:12" x14ac:dyDescent="0.25">
      <c r="A376" t="s">
        <v>195</v>
      </c>
      <c r="B376" t="s">
        <v>196</v>
      </c>
      <c r="C376">
        <v>5</v>
      </c>
      <c r="D376" t="s">
        <v>163</v>
      </c>
      <c r="E376" t="s">
        <v>14</v>
      </c>
      <c r="F376" t="s">
        <v>1891</v>
      </c>
      <c r="G376" s="7">
        <v>45513</v>
      </c>
      <c r="H376" t="s">
        <v>71</v>
      </c>
      <c r="I376" t="s">
        <v>160</v>
      </c>
      <c r="J376" t="s">
        <v>8</v>
      </c>
      <c r="K376">
        <f>INDEX('LAB PRICES'!$C$2:$F$12, MATCH(tblLabs[[#This Row],[Code]], 'LAB PRICES'!$A$2:$A$12, 0), MATCH(tblLabs[[#This Row],[Facility]], 'LAB PRICES'!$C$1:$F$1, 0))</f>
        <v>40</v>
      </c>
      <c r="L376">
        <f>_xlfn.XLOOKUP(
    tblLabs[[#This Row],[Code]],
    'LAB PRICES'!$A$2:$A$12,
    'LAB PRICES'!$G$2:$G$12
)</f>
        <v>100</v>
      </c>
    </row>
    <row r="377" spans="1:12" x14ac:dyDescent="0.25">
      <c r="A377" t="s">
        <v>195</v>
      </c>
      <c r="B377" t="s">
        <v>196</v>
      </c>
      <c r="C377">
        <v>5</v>
      </c>
      <c r="D377" t="s">
        <v>169</v>
      </c>
      <c r="E377" t="s">
        <v>14</v>
      </c>
      <c r="F377" t="s">
        <v>1891</v>
      </c>
      <c r="G377" s="7">
        <v>45514</v>
      </c>
      <c r="H377" t="s">
        <v>71</v>
      </c>
      <c r="I377" t="s">
        <v>170</v>
      </c>
      <c r="J377" t="s">
        <v>8</v>
      </c>
      <c r="K377">
        <f>INDEX('LAB PRICES'!$C$2:$F$12, MATCH(tblLabs[[#This Row],[Code]], 'LAB PRICES'!$A$2:$A$12, 0), MATCH(tblLabs[[#This Row],[Facility]], 'LAB PRICES'!$C$1:$F$1, 0))</f>
        <v>40</v>
      </c>
      <c r="L377">
        <f>_xlfn.XLOOKUP(
    tblLabs[[#This Row],[Code]],
    'LAB PRICES'!$A$2:$A$12,
    'LAB PRICES'!$G$2:$G$12
)</f>
        <v>100</v>
      </c>
    </row>
    <row r="378" spans="1:12" x14ac:dyDescent="0.25">
      <c r="A378" t="s">
        <v>195</v>
      </c>
      <c r="B378" t="s">
        <v>196</v>
      </c>
      <c r="C378">
        <v>12</v>
      </c>
      <c r="D378" t="s">
        <v>190</v>
      </c>
      <c r="E378" t="s">
        <v>237</v>
      </c>
      <c r="F378" t="s">
        <v>1890</v>
      </c>
      <c r="G378" s="7">
        <v>45528</v>
      </c>
      <c r="H378" t="s">
        <v>7</v>
      </c>
      <c r="I378" t="s">
        <v>186</v>
      </c>
      <c r="J378" t="s">
        <v>8</v>
      </c>
      <c r="K378">
        <f>INDEX('LAB PRICES'!$C$2:$F$12, MATCH(tblLabs[[#This Row],[Code]], 'LAB PRICES'!$A$2:$A$12, 0), MATCH(tblLabs[[#This Row],[Facility]], 'LAB PRICES'!$C$1:$F$1, 0))</f>
        <v>6</v>
      </c>
      <c r="L378">
        <f>_xlfn.XLOOKUP(
    tblLabs[[#This Row],[Code]],
    'LAB PRICES'!$A$2:$A$12,
    'LAB PRICES'!$G$2:$G$12
)</f>
        <v>27</v>
      </c>
    </row>
    <row r="379" spans="1:12" x14ac:dyDescent="0.25">
      <c r="A379" t="s">
        <v>195</v>
      </c>
      <c r="B379" t="s">
        <v>196</v>
      </c>
      <c r="C379">
        <v>12</v>
      </c>
      <c r="D379" t="s">
        <v>187</v>
      </c>
      <c r="E379" t="s">
        <v>1878</v>
      </c>
      <c r="F379" t="s">
        <v>1889</v>
      </c>
      <c r="G379" s="7">
        <v>45527</v>
      </c>
      <c r="H379" t="s">
        <v>7</v>
      </c>
      <c r="I379" t="s">
        <v>186</v>
      </c>
      <c r="J379" t="s">
        <v>8</v>
      </c>
      <c r="K379">
        <f>INDEX('LAB PRICES'!$C$2:$F$12, MATCH(tblLabs[[#This Row],[Code]], 'LAB PRICES'!$A$2:$A$12, 0), MATCH(tblLabs[[#This Row],[Facility]], 'LAB PRICES'!$C$1:$F$1, 0))</f>
        <v>6</v>
      </c>
      <c r="L379">
        <f>_xlfn.XLOOKUP(
    tblLabs[[#This Row],[Code]],
    'LAB PRICES'!$A$2:$A$12,
    'LAB PRICES'!$G$2:$G$12
)</f>
        <v>23</v>
      </c>
    </row>
    <row r="380" spans="1:12" x14ac:dyDescent="0.25">
      <c r="A380" t="s">
        <v>195</v>
      </c>
      <c r="B380" t="s">
        <v>196</v>
      </c>
      <c r="C380">
        <v>12</v>
      </c>
      <c r="D380" t="s">
        <v>183</v>
      </c>
      <c r="E380" t="s">
        <v>1878</v>
      </c>
      <c r="F380" t="s">
        <v>1889</v>
      </c>
      <c r="G380" s="7">
        <v>45527</v>
      </c>
      <c r="H380" t="s">
        <v>7</v>
      </c>
      <c r="I380" t="s">
        <v>184</v>
      </c>
      <c r="J380" t="s">
        <v>8</v>
      </c>
      <c r="K380">
        <f>INDEX('LAB PRICES'!$C$2:$F$12, MATCH(tblLabs[[#This Row],[Code]], 'LAB PRICES'!$A$2:$A$12, 0), MATCH(tblLabs[[#This Row],[Facility]], 'LAB PRICES'!$C$1:$F$1, 0))</f>
        <v>6</v>
      </c>
      <c r="L380">
        <f>_xlfn.XLOOKUP(
    tblLabs[[#This Row],[Code]],
    'LAB PRICES'!$A$2:$A$12,
    'LAB PRICES'!$G$2:$G$12
)</f>
        <v>23</v>
      </c>
    </row>
    <row r="381" spans="1:12" x14ac:dyDescent="0.25">
      <c r="A381" t="s">
        <v>195</v>
      </c>
      <c r="B381" t="s">
        <v>196</v>
      </c>
      <c r="C381">
        <v>14</v>
      </c>
      <c r="D381" t="s">
        <v>185</v>
      </c>
      <c r="E381" t="s">
        <v>1878</v>
      </c>
      <c r="F381" t="s">
        <v>1889</v>
      </c>
      <c r="G381" s="7">
        <v>45527</v>
      </c>
      <c r="H381" t="s">
        <v>7</v>
      </c>
      <c r="I381" t="s">
        <v>186</v>
      </c>
      <c r="J381" t="s">
        <v>8</v>
      </c>
      <c r="K381">
        <f>INDEX('LAB PRICES'!$C$2:$F$12, MATCH(tblLabs[[#This Row],[Code]], 'LAB PRICES'!$A$2:$A$12, 0), MATCH(tblLabs[[#This Row],[Facility]], 'LAB PRICES'!$C$1:$F$1, 0))</f>
        <v>6</v>
      </c>
      <c r="L381">
        <f>_xlfn.XLOOKUP(
    tblLabs[[#This Row],[Code]],
    'LAB PRICES'!$A$2:$A$12,
    'LAB PRICES'!$G$2:$G$12
)</f>
        <v>23</v>
      </c>
    </row>
    <row r="382" spans="1:12" x14ac:dyDescent="0.25">
      <c r="A382" t="s">
        <v>195</v>
      </c>
      <c r="B382" t="s">
        <v>196</v>
      </c>
      <c r="C382">
        <v>14</v>
      </c>
      <c r="D382" t="s">
        <v>188</v>
      </c>
      <c r="E382" t="s">
        <v>1878</v>
      </c>
      <c r="F382" t="s">
        <v>1889</v>
      </c>
      <c r="G382" s="7">
        <v>45528</v>
      </c>
      <c r="H382" t="s">
        <v>7</v>
      </c>
      <c r="I382" t="s">
        <v>189</v>
      </c>
      <c r="J382" t="s">
        <v>8</v>
      </c>
      <c r="K382">
        <f>INDEX('LAB PRICES'!$C$2:$F$12, MATCH(tblLabs[[#This Row],[Code]], 'LAB PRICES'!$A$2:$A$12, 0), MATCH(tblLabs[[#This Row],[Facility]], 'LAB PRICES'!$C$1:$F$1, 0))</f>
        <v>6</v>
      </c>
      <c r="L382">
        <f>_xlfn.XLOOKUP(
    tblLabs[[#This Row],[Code]],
    'LAB PRICES'!$A$2:$A$12,
    'LAB PRICES'!$G$2:$G$12
)</f>
        <v>23</v>
      </c>
    </row>
    <row r="383" spans="1:12" x14ac:dyDescent="0.25">
      <c r="A383" t="s">
        <v>195</v>
      </c>
      <c r="B383" t="s">
        <v>196</v>
      </c>
      <c r="C383">
        <v>12</v>
      </c>
      <c r="D383" t="s">
        <v>192</v>
      </c>
      <c r="E383" t="s">
        <v>237</v>
      </c>
      <c r="F383" t="s">
        <v>1890</v>
      </c>
      <c r="G383" s="7">
        <v>45529</v>
      </c>
      <c r="H383" t="s">
        <v>7</v>
      </c>
      <c r="I383" t="s">
        <v>189</v>
      </c>
      <c r="J383" t="s">
        <v>8</v>
      </c>
      <c r="K383">
        <f>INDEX('LAB PRICES'!$C$2:$F$12, MATCH(tblLabs[[#This Row],[Code]], 'LAB PRICES'!$A$2:$A$12, 0), MATCH(tblLabs[[#This Row],[Facility]], 'LAB PRICES'!$C$1:$F$1, 0))</f>
        <v>6</v>
      </c>
      <c r="L383">
        <f>_xlfn.XLOOKUP(
    tblLabs[[#This Row],[Code]],
    'LAB PRICES'!$A$2:$A$12,
    'LAB PRICES'!$G$2:$G$12
)</f>
        <v>27</v>
      </c>
    </row>
    <row r="384" spans="1:12" x14ac:dyDescent="0.25">
      <c r="A384" t="s">
        <v>195</v>
      </c>
      <c r="B384" t="s">
        <v>196</v>
      </c>
      <c r="C384">
        <v>12</v>
      </c>
      <c r="D384" t="s">
        <v>191</v>
      </c>
      <c r="E384" t="s">
        <v>1878</v>
      </c>
      <c r="F384" t="s">
        <v>1889</v>
      </c>
      <c r="G384" s="7">
        <v>45528</v>
      </c>
      <c r="H384" t="s">
        <v>7</v>
      </c>
      <c r="I384" t="s">
        <v>189</v>
      </c>
      <c r="J384" t="s">
        <v>8</v>
      </c>
      <c r="K384">
        <f>INDEX('LAB PRICES'!$C$2:$F$12, MATCH(tblLabs[[#This Row],[Code]], 'LAB PRICES'!$A$2:$A$12, 0), MATCH(tblLabs[[#This Row],[Facility]], 'LAB PRICES'!$C$1:$F$1, 0))</f>
        <v>6</v>
      </c>
      <c r="L384">
        <f>_xlfn.XLOOKUP(
    tblLabs[[#This Row],[Code]],
    'LAB PRICES'!$A$2:$A$12,
    'LAB PRICES'!$G$2:$G$12
)</f>
        <v>23</v>
      </c>
    </row>
    <row r="385" spans="1:12" x14ac:dyDescent="0.25">
      <c r="A385" t="s">
        <v>195</v>
      </c>
      <c r="B385" t="s">
        <v>196</v>
      </c>
      <c r="C385">
        <v>5</v>
      </c>
      <c r="D385" t="s">
        <v>182</v>
      </c>
      <c r="E385" t="s">
        <v>14</v>
      </c>
      <c r="F385" t="s">
        <v>1891</v>
      </c>
      <c r="G385" s="7">
        <v>45521</v>
      </c>
      <c r="H385" t="s">
        <v>136</v>
      </c>
      <c r="I385" t="s">
        <v>174</v>
      </c>
      <c r="J385" t="s">
        <v>8</v>
      </c>
      <c r="K385">
        <f>INDEX('LAB PRICES'!$C$2:$F$12, MATCH(tblLabs[[#This Row],[Code]], 'LAB PRICES'!$A$2:$A$12, 0), MATCH(tblLabs[[#This Row],[Facility]], 'LAB PRICES'!$C$1:$F$1, 0))</f>
        <v>40</v>
      </c>
      <c r="L385">
        <f>_xlfn.XLOOKUP(
    tblLabs[[#This Row],[Code]],
    'LAB PRICES'!$A$2:$A$12,
    'LAB PRICES'!$G$2:$G$12
)</f>
        <v>100</v>
      </c>
    </row>
    <row r="386" spans="1:12" x14ac:dyDescent="0.25">
      <c r="A386" t="s">
        <v>195</v>
      </c>
      <c r="B386" t="s">
        <v>196</v>
      </c>
      <c r="C386">
        <v>5</v>
      </c>
      <c r="D386" t="s">
        <v>181</v>
      </c>
      <c r="E386" t="s">
        <v>14</v>
      </c>
      <c r="F386" t="s">
        <v>1891</v>
      </c>
      <c r="G386" s="7">
        <v>45521</v>
      </c>
      <c r="H386" t="s">
        <v>136</v>
      </c>
      <c r="I386" t="s">
        <v>177</v>
      </c>
      <c r="J386" t="s">
        <v>8</v>
      </c>
      <c r="K386">
        <f>INDEX('LAB PRICES'!$C$2:$F$12, MATCH(tblLabs[[#This Row],[Code]], 'LAB PRICES'!$A$2:$A$12, 0), MATCH(tblLabs[[#This Row],[Facility]], 'LAB PRICES'!$C$1:$F$1, 0))</f>
        <v>40</v>
      </c>
      <c r="L386">
        <f>_xlfn.XLOOKUP(
    tblLabs[[#This Row],[Code]],
    'LAB PRICES'!$A$2:$A$12,
    'LAB PRICES'!$G$2:$G$12
)</f>
        <v>100</v>
      </c>
    </row>
    <row r="387" spans="1:12" x14ac:dyDescent="0.25">
      <c r="A387" t="s">
        <v>195</v>
      </c>
      <c r="B387" t="s">
        <v>196</v>
      </c>
      <c r="C387">
        <v>12</v>
      </c>
      <c r="D387" t="s">
        <v>140</v>
      </c>
      <c r="E387" t="s">
        <v>1878</v>
      </c>
      <c r="F387" t="s">
        <v>1889</v>
      </c>
      <c r="G387" s="7">
        <v>45506</v>
      </c>
      <c r="H387" t="s">
        <v>136</v>
      </c>
      <c r="I387" t="s">
        <v>139</v>
      </c>
      <c r="J387" t="s">
        <v>8</v>
      </c>
      <c r="K387">
        <f>INDEX('LAB PRICES'!$C$2:$F$12, MATCH(tblLabs[[#This Row],[Code]], 'LAB PRICES'!$A$2:$A$12, 0), MATCH(tblLabs[[#This Row],[Facility]], 'LAB PRICES'!$C$1:$F$1, 0))</f>
        <v>6</v>
      </c>
      <c r="L387">
        <f>_xlfn.XLOOKUP(
    tblLabs[[#This Row],[Code]],
    'LAB PRICES'!$A$2:$A$12,
    'LAB PRICES'!$G$2:$G$12
)</f>
        <v>23</v>
      </c>
    </row>
    <row r="388" spans="1:12" x14ac:dyDescent="0.25">
      <c r="A388" t="s">
        <v>195</v>
      </c>
      <c r="B388" t="s">
        <v>196</v>
      </c>
      <c r="C388">
        <v>12</v>
      </c>
      <c r="D388" t="s">
        <v>135</v>
      </c>
      <c r="E388" t="s">
        <v>1878</v>
      </c>
      <c r="F388" t="s">
        <v>1889</v>
      </c>
      <c r="G388" s="7">
        <v>45506</v>
      </c>
      <c r="H388" t="s">
        <v>136</v>
      </c>
      <c r="I388" t="s">
        <v>137</v>
      </c>
      <c r="J388" t="s">
        <v>8</v>
      </c>
      <c r="K388">
        <f>INDEX('LAB PRICES'!$C$2:$F$12, MATCH(tblLabs[[#This Row],[Code]], 'LAB PRICES'!$A$2:$A$12, 0), MATCH(tblLabs[[#This Row],[Facility]], 'LAB PRICES'!$C$1:$F$1, 0))</f>
        <v>6</v>
      </c>
      <c r="L388">
        <f>_xlfn.XLOOKUP(
    tblLabs[[#This Row],[Code]],
    'LAB PRICES'!$A$2:$A$12,
    'LAB PRICES'!$G$2:$G$12
)</f>
        <v>23</v>
      </c>
    </row>
    <row r="389" spans="1:12" x14ac:dyDescent="0.25">
      <c r="A389" t="s">
        <v>195</v>
      </c>
      <c r="B389" t="s">
        <v>196</v>
      </c>
      <c r="C389">
        <v>12</v>
      </c>
      <c r="D389" t="s">
        <v>144</v>
      </c>
      <c r="E389" t="s">
        <v>237</v>
      </c>
      <c r="F389" t="s">
        <v>1890</v>
      </c>
      <c r="G389" s="7">
        <v>45507</v>
      </c>
      <c r="H389" t="s">
        <v>136</v>
      </c>
      <c r="I389" t="s">
        <v>139</v>
      </c>
      <c r="J389" t="s">
        <v>8</v>
      </c>
      <c r="K389">
        <f>INDEX('LAB PRICES'!$C$2:$F$12, MATCH(tblLabs[[#This Row],[Code]], 'LAB PRICES'!$A$2:$A$12, 0), MATCH(tblLabs[[#This Row],[Facility]], 'LAB PRICES'!$C$1:$F$1, 0))</f>
        <v>6</v>
      </c>
      <c r="L389">
        <f>_xlfn.XLOOKUP(
    tblLabs[[#This Row],[Code]],
    'LAB PRICES'!$A$2:$A$12,
    'LAB PRICES'!$G$2:$G$12
)</f>
        <v>27</v>
      </c>
    </row>
    <row r="390" spans="1:12" x14ac:dyDescent="0.25">
      <c r="A390" t="s">
        <v>195</v>
      </c>
      <c r="B390" t="s">
        <v>196</v>
      </c>
      <c r="C390">
        <v>18</v>
      </c>
      <c r="D390" t="s">
        <v>138</v>
      </c>
      <c r="E390" t="s">
        <v>1878</v>
      </c>
      <c r="F390" t="s">
        <v>1889</v>
      </c>
      <c r="G390" s="7">
        <v>45506</v>
      </c>
      <c r="H390" t="s">
        <v>136</v>
      </c>
      <c r="I390" t="s">
        <v>139</v>
      </c>
      <c r="J390" t="s">
        <v>8</v>
      </c>
      <c r="K390">
        <f>INDEX('LAB PRICES'!$C$2:$F$12, MATCH(tblLabs[[#This Row],[Code]], 'LAB PRICES'!$A$2:$A$12, 0), MATCH(tblLabs[[#This Row],[Facility]], 'LAB PRICES'!$C$1:$F$1, 0))</f>
        <v>6</v>
      </c>
      <c r="L390">
        <f>_xlfn.XLOOKUP(
    tblLabs[[#This Row],[Code]],
    'LAB PRICES'!$A$2:$A$12,
    'LAB PRICES'!$G$2:$G$12
)</f>
        <v>23</v>
      </c>
    </row>
    <row r="391" spans="1:12" x14ac:dyDescent="0.25">
      <c r="A391" t="s">
        <v>195</v>
      </c>
      <c r="B391" t="s">
        <v>196</v>
      </c>
      <c r="C391">
        <v>5</v>
      </c>
      <c r="D391" t="s">
        <v>194</v>
      </c>
      <c r="E391" t="s">
        <v>14</v>
      </c>
      <c r="F391" t="s">
        <v>1891</v>
      </c>
      <c r="G391" s="7">
        <v>45529</v>
      </c>
      <c r="H391" t="s">
        <v>7</v>
      </c>
      <c r="I391" t="s">
        <v>186</v>
      </c>
      <c r="J391" t="s">
        <v>8</v>
      </c>
      <c r="K391">
        <f>INDEX('LAB PRICES'!$C$2:$F$12, MATCH(tblLabs[[#This Row],[Code]], 'LAB PRICES'!$A$2:$A$12, 0), MATCH(tblLabs[[#This Row],[Facility]], 'LAB PRICES'!$C$1:$F$1, 0))</f>
        <v>40</v>
      </c>
      <c r="L391">
        <f>_xlfn.XLOOKUP(
    tblLabs[[#This Row],[Code]],
    'LAB PRICES'!$A$2:$A$12,
    'LAB PRICES'!$G$2:$G$12
)</f>
        <v>100</v>
      </c>
    </row>
    <row r="392" spans="1:12" x14ac:dyDescent="0.25">
      <c r="A392" t="s">
        <v>195</v>
      </c>
      <c r="B392" t="s">
        <v>196</v>
      </c>
      <c r="C392">
        <v>5</v>
      </c>
      <c r="D392" t="s">
        <v>193</v>
      </c>
      <c r="E392" t="s">
        <v>14</v>
      </c>
      <c r="F392" t="s">
        <v>1891</v>
      </c>
      <c r="G392" s="7">
        <v>45529</v>
      </c>
      <c r="H392" t="s">
        <v>7</v>
      </c>
      <c r="I392" t="s">
        <v>189</v>
      </c>
      <c r="J392" t="s">
        <v>8</v>
      </c>
      <c r="K392">
        <f>INDEX('LAB PRICES'!$C$2:$F$12, MATCH(tblLabs[[#This Row],[Code]], 'LAB PRICES'!$A$2:$A$12, 0), MATCH(tblLabs[[#This Row],[Facility]], 'LAB PRICES'!$C$1:$F$1, 0))</f>
        <v>40</v>
      </c>
      <c r="L392">
        <f>_xlfn.XLOOKUP(
    tblLabs[[#This Row],[Code]],
    'LAB PRICES'!$A$2:$A$12,
    'LAB PRICES'!$G$2:$G$12
)</f>
        <v>100</v>
      </c>
    </row>
    <row r="393" spans="1:12" x14ac:dyDescent="0.25">
      <c r="A393" t="s">
        <v>195</v>
      </c>
      <c r="B393" t="s">
        <v>196</v>
      </c>
      <c r="C393">
        <v>12</v>
      </c>
      <c r="D393" t="s">
        <v>145</v>
      </c>
      <c r="E393" t="s">
        <v>1878</v>
      </c>
      <c r="F393" t="s">
        <v>1889</v>
      </c>
      <c r="G393" s="7">
        <v>45507</v>
      </c>
      <c r="H393" t="s">
        <v>142</v>
      </c>
      <c r="I393" t="s">
        <v>143</v>
      </c>
      <c r="J393" t="s">
        <v>8</v>
      </c>
      <c r="K393">
        <f>INDEX('LAB PRICES'!$C$2:$F$12, MATCH(tblLabs[[#This Row],[Code]], 'LAB PRICES'!$A$2:$A$12, 0), MATCH(tblLabs[[#This Row],[Facility]], 'LAB PRICES'!$C$1:$F$1, 0))</f>
        <v>6</v>
      </c>
      <c r="L393">
        <f>_xlfn.XLOOKUP(
    tblLabs[[#This Row],[Code]],
    'LAB PRICES'!$A$2:$A$12,
    'LAB PRICES'!$G$2:$G$12
)</f>
        <v>23</v>
      </c>
    </row>
    <row r="394" spans="1:12" x14ac:dyDescent="0.25">
      <c r="A394" t="s">
        <v>195</v>
      </c>
      <c r="B394" t="s">
        <v>196</v>
      </c>
      <c r="C394">
        <v>12</v>
      </c>
      <c r="D394" t="s">
        <v>149</v>
      </c>
      <c r="E394" t="s">
        <v>237</v>
      </c>
      <c r="F394" t="s">
        <v>1890</v>
      </c>
      <c r="G394" s="7">
        <v>45508</v>
      </c>
      <c r="H394" t="s">
        <v>142</v>
      </c>
      <c r="I394" t="s">
        <v>143</v>
      </c>
      <c r="J394" t="s">
        <v>8</v>
      </c>
      <c r="K394">
        <f>INDEX('LAB PRICES'!$C$2:$F$12, MATCH(tblLabs[[#This Row],[Code]], 'LAB PRICES'!$A$2:$A$12, 0), MATCH(tblLabs[[#This Row],[Facility]], 'LAB PRICES'!$C$1:$F$1, 0))</f>
        <v>6</v>
      </c>
      <c r="L394">
        <f>_xlfn.XLOOKUP(
    tblLabs[[#This Row],[Code]],
    'LAB PRICES'!$A$2:$A$12,
    'LAB PRICES'!$G$2:$G$12
)</f>
        <v>27</v>
      </c>
    </row>
    <row r="395" spans="1:12" x14ac:dyDescent="0.25">
      <c r="A395" t="s">
        <v>195</v>
      </c>
      <c r="B395" t="s">
        <v>196</v>
      </c>
      <c r="C395">
        <v>18</v>
      </c>
      <c r="D395" t="s">
        <v>141</v>
      </c>
      <c r="E395" t="s">
        <v>1878</v>
      </c>
      <c r="F395" t="s">
        <v>1889</v>
      </c>
      <c r="G395" s="7">
        <v>45507</v>
      </c>
      <c r="H395" t="s">
        <v>142</v>
      </c>
      <c r="I395" t="s">
        <v>143</v>
      </c>
      <c r="J395" t="s">
        <v>8</v>
      </c>
      <c r="K395">
        <f>INDEX('LAB PRICES'!$C$2:$F$12, MATCH(tblLabs[[#This Row],[Code]], 'LAB PRICES'!$A$2:$A$12, 0), MATCH(tblLabs[[#This Row],[Facility]], 'LAB PRICES'!$C$1:$F$1, 0))</f>
        <v>6</v>
      </c>
      <c r="L395">
        <f>_xlfn.XLOOKUP(
    tblLabs[[#This Row],[Code]],
    'LAB PRICES'!$A$2:$A$12,
    'LAB PRICES'!$G$2:$G$12
)</f>
        <v>23</v>
      </c>
    </row>
    <row r="396" spans="1:12" x14ac:dyDescent="0.25">
      <c r="A396" t="s">
        <v>195</v>
      </c>
      <c r="B396" t="s">
        <v>196</v>
      </c>
      <c r="C396">
        <v>12</v>
      </c>
      <c r="D396" t="s">
        <v>150</v>
      </c>
      <c r="E396" t="s">
        <v>1878</v>
      </c>
      <c r="F396" t="s">
        <v>1889</v>
      </c>
      <c r="G396" s="7">
        <v>45508</v>
      </c>
      <c r="H396" t="s">
        <v>142</v>
      </c>
      <c r="I396" t="s">
        <v>151</v>
      </c>
      <c r="J396" t="s">
        <v>8</v>
      </c>
      <c r="K396">
        <f>INDEX('LAB PRICES'!$C$2:$F$12, MATCH(tblLabs[[#This Row],[Code]], 'LAB PRICES'!$A$2:$A$12, 0), MATCH(tblLabs[[#This Row],[Facility]], 'LAB PRICES'!$C$1:$F$1, 0))</f>
        <v>6</v>
      </c>
      <c r="L396">
        <f>_xlfn.XLOOKUP(
    tblLabs[[#This Row],[Code]],
    'LAB PRICES'!$A$2:$A$12,
    'LAB PRICES'!$G$2:$G$12
)</f>
        <v>23</v>
      </c>
    </row>
    <row r="397" spans="1:12" x14ac:dyDescent="0.25">
      <c r="A397" t="s">
        <v>195</v>
      </c>
      <c r="B397" t="s">
        <v>196</v>
      </c>
      <c r="C397">
        <v>10</v>
      </c>
      <c r="D397" t="s">
        <v>147</v>
      </c>
      <c r="E397" t="s">
        <v>1878</v>
      </c>
      <c r="F397" t="s">
        <v>1889</v>
      </c>
      <c r="G397" s="7">
        <v>45508</v>
      </c>
      <c r="H397" t="s">
        <v>142</v>
      </c>
      <c r="I397" t="s">
        <v>148</v>
      </c>
      <c r="J397" t="s">
        <v>8</v>
      </c>
      <c r="K397">
        <f>INDEX('LAB PRICES'!$C$2:$F$12, MATCH(tblLabs[[#This Row],[Code]], 'LAB PRICES'!$A$2:$A$12, 0), MATCH(tblLabs[[#This Row],[Facility]], 'LAB PRICES'!$C$1:$F$1, 0))</f>
        <v>6</v>
      </c>
      <c r="L397">
        <f>_xlfn.XLOOKUP(
    tblLabs[[#This Row],[Code]],
    'LAB PRICES'!$A$2:$A$12,
    'LAB PRICES'!$G$2:$G$12
)</f>
        <v>23</v>
      </c>
    </row>
    <row r="398" spans="1:12" x14ac:dyDescent="0.25">
      <c r="A398" t="s">
        <v>195</v>
      </c>
      <c r="B398" t="s">
        <v>196</v>
      </c>
      <c r="C398">
        <v>12</v>
      </c>
      <c r="D398" t="s">
        <v>154</v>
      </c>
      <c r="E398" t="s">
        <v>237</v>
      </c>
      <c r="F398" t="s">
        <v>1890</v>
      </c>
      <c r="G398" s="7">
        <v>45509</v>
      </c>
      <c r="H398" t="s">
        <v>71</v>
      </c>
      <c r="I398" t="s">
        <v>155</v>
      </c>
      <c r="J398" t="s">
        <v>8</v>
      </c>
      <c r="K398">
        <f>INDEX('LAB PRICES'!$C$2:$F$12, MATCH(tblLabs[[#This Row],[Code]], 'LAB PRICES'!$A$2:$A$12, 0), MATCH(tblLabs[[#This Row],[Facility]], 'LAB PRICES'!$C$1:$F$1, 0))</f>
        <v>6</v>
      </c>
      <c r="L398">
        <f>_xlfn.XLOOKUP(
    tblLabs[[#This Row],[Code]],
    'LAB PRICES'!$A$2:$A$12,
    'LAB PRICES'!$G$2:$G$12
)</f>
        <v>27</v>
      </c>
    </row>
    <row r="399" spans="1:12" x14ac:dyDescent="0.25">
      <c r="A399" t="s">
        <v>195</v>
      </c>
      <c r="B399" t="s">
        <v>196</v>
      </c>
      <c r="C399">
        <v>20</v>
      </c>
      <c r="D399" t="s">
        <v>153</v>
      </c>
      <c r="E399" t="s">
        <v>1878</v>
      </c>
      <c r="F399" t="s">
        <v>1889</v>
      </c>
      <c r="G399" s="7">
        <v>45509</v>
      </c>
      <c r="H399" t="s">
        <v>71</v>
      </c>
      <c r="I399" t="s">
        <v>151</v>
      </c>
      <c r="J399" t="s">
        <v>8</v>
      </c>
      <c r="K399">
        <f>INDEX('LAB PRICES'!$C$2:$F$12, MATCH(tblLabs[[#This Row],[Code]], 'LAB PRICES'!$A$2:$A$12, 0), MATCH(tblLabs[[#This Row],[Facility]], 'LAB PRICES'!$C$1:$F$1, 0))</f>
        <v>6</v>
      </c>
      <c r="L399">
        <f>_xlfn.XLOOKUP(
    tblLabs[[#This Row],[Code]],
    'LAB PRICES'!$A$2:$A$12,
    'LAB PRICES'!$G$2:$G$12
)</f>
        <v>23</v>
      </c>
    </row>
    <row r="400" spans="1:12" x14ac:dyDescent="0.25">
      <c r="A400" t="s">
        <v>195</v>
      </c>
      <c r="B400" t="s">
        <v>196</v>
      </c>
      <c r="C400">
        <v>12</v>
      </c>
      <c r="D400" t="s">
        <v>157</v>
      </c>
      <c r="E400" t="s">
        <v>1878</v>
      </c>
      <c r="F400" t="s">
        <v>1889</v>
      </c>
      <c r="G400" s="7">
        <v>45512</v>
      </c>
      <c r="H400" t="s">
        <v>71</v>
      </c>
      <c r="I400" t="s">
        <v>158</v>
      </c>
      <c r="J400" t="s">
        <v>8</v>
      </c>
      <c r="K400">
        <f>INDEX('LAB PRICES'!$C$2:$F$12, MATCH(tblLabs[[#This Row],[Code]], 'LAB PRICES'!$A$2:$A$12, 0), MATCH(tblLabs[[#This Row],[Facility]], 'LAB PRICES'!$C$1:$F$1, 0))</f>
        <v>6</v>
      </c>
      <c r="L400">
        <f>_xlfn.XLOOKUP(
    tblLabs[[#This Row],[Code]],
    'LAB PRICES'!$A$2:$A$12,
    'LAB PRICES'!$G$2:$G$12
)</f>
        <v>23</v>
      </c>
    </row>
    <row r="401" spans="1:12" x14ac:dyDescent="0.25">
      <c r="A401" t="s">
        <v>195</v>
      </c>
      <c r="B401" t="s">
        <v>196</v>
      </c>
      <c r="C401">
        <v>12</v>
      </c>
      <c r="D401" t="s">
        <v>162</v>
      </c>
      <c r="E401" t="s">
        <v>1878</v>
      </c>
      <c r="F401" t="s">
        <v>1889</v>
      </c>
      <c r="G401" s="7">
        <v>45513</v>
      </c>
      <c r="H401" t="s">
        <v>71</v>
      </c>
      <c r="I401" t="s">
        <v>160</v>
      </c>
      <c r="J401" t="s">
        <v>8</v>
      </c>
      <c r="K401">
        <f>INDEX('LAB PRICES'!$C$2:$F$12, MATCH(tblLabs[[#This Row],[Code]], 'LAB PRICES'!$A$2:$A$12, 0), MATCH(tblLabs[[#This Row],[Facility]], 'LAB PRICES'!$C$1:$F$1, 0))</f>
        <v>6</v>
      </c>
      <c r="L401">
        <f>_xlfn.XLOOKUP(
    tblLabs[[#This Row],[Code]],
    'LAB PRICES'!$A$2:$A$12,
    'LAB PRICES'!$G$2:$G$12
)</f>
        <v>23</v>
      </c>
    </row>
    <row r="402" spans="1:12" x14ac:dyDescent="0.25">
      <c r="A402" t="s">
        <v>195</v>
      </c>
      <c r="B402" t="s">
        <v>196</v>
      </c>
      <c r="C402">
        <v>14</v>
      </c>
      <c r="D402" t="s">
        <v>159</v>
      </c>
      <c r="E402" t="s">
        <v>1878</v>
      </c>
      <c r="F402" t="s">
        <v>1889</v>
      </c>
      <c r="G402" s="7">
        <v>45513</v>
      </c>
      <c r="H402" t="s">
        <v>71</v>
      </c>
      <c r="I402" t="s">
        <v>160</v>
      </c>
      <c r="J402" t="s">
        <v>8</v>
      </c>
      <c r="K402">
        <f>INDEX('LAB PRICES'!$C$2:$F$12, MATCH(tblLabs[[#This Row],[Code]], 'LAB PRICES'!$A$2:$A$12, 0), MATCH(tblLabs[[#This Row],[Facility]], 'LAB PRICES'!$C$1:$F$1, 0))</f>
        <v>6</v>
      </c>
      <c r="L402">
        <f>_xlfn.XLOOKUP(
    tblLabs[[#This Row],[Code]],
    'LAB PRICES'!$A$2:$A$12,
    'LAB PRICES'!$G$2:$G$12
)</f>
        <v>23</v>
      </c>
    </row>
    <row r="403" spans="1:12" x14ac:dyDescent="0.25">
      <c r="A403" t="s">
        <v>195</v>
      </c>
      <c r="B403" t="s">
        <v>196</v>
      </c>
      <c r="C403">
        <v>12</v>
      </c>
      <c r="D403" t="s">
        <v>161</v>
      </c>
      <c r="E403" t="s">
        <v>237</v>
      </c>
      <c r="F403" t="s">
        <v>1890</v>
      </c>
      <c r="G403" s="7">
        <v>45513</v>
      </c>
      <c r="H403" t="s">
        <v>71</v>
      </c>
      <c r="I403" t="s">
        <v>160</v>
      </c>
      <c r="J403" t="s">
        <v>8</v>
      </c>
      <c r="K403">
        <f>INDEX('LAB PRICES'!$C$2:$F$12, MATCH(tblLabs[[#This Row],[Code]], 'LAB PRICES'!$A$2:$A$12, 0), MATCH(tblLabs[[#This Row],[Facility]], 'LAB PRICES'!$C$1:$F$1, 0))</f>
        <v>6</v>
      </c>
      <c r="L403">
        <f>_xlfn.XLOOKUP(
    tblLabs[[#This Row],[Code]],
    'LAB PRICES'!$A$2:$A$12,
    'LAB PRICES'!$G$2:$G$12
)</f>
        <v>27</v>
      </c>
    </row>
    <row r="404" spans="1:12" x14ac:dyDescent="0.25">
      <c r="A404" t="s">
        <v>195</v>
      </c>
      <c r="B404" t="s">
        <v>196</v>
      </c>
      <c r="C404">
        <v>12</v>
      </c>
      <c r="D404" t="s">
        <v>167</v>
      </c>
      <c r="E404" t="s">
        <v>1878</v>
      </c>
      <c r="F404" t="s">
        <v>1889</v>
      </c>
      <c r="G404" s="7">
        <v>45514</v>
      </c>
      <c r="H404" t="s">
        <v>71</v>
      </c>
      <c r="I404" t="s">
        <v>168</v>
      </c>
      <c r="J404" t="s">
        <v>8</v>
      </c>
      <c r="K404">
        <f>INDEX('LAB PRICES'!$C$2:$F$12, MATCH(tblLabs[[#This Row],[Code]], 'LAB PRICES'!$A$2:$A$12, 0), MATCH(tblLabs[[#This Row],[Facility]], 'LAB PRICES'!$C$1:$F$1, 0))</f>
        <v>6</v>
      </c>
      <c r="L404">
        <f>_xlfn.XLOOKUP(
    tblLabs[[#This Row],[Code]],
    'LAB PRICES'!$A$2:$A$12,
    'LAB PRICES'!$G$2:$G$12
)</f>
        <v>23</v>
      </c>
    </row>
    <row r="405" spans="1:12" x14ac:dyDescent="0.25">
      <c r="A405" t="s">
        <v>195</v>
      </c>
      <c r="B405" t="s">
        <v>196</v>
      </c>
      <c r="C405">
        <v>8</v>
      </c>
      <c r="D405" t="s">
        <v>164</v>
      </c>
      <c r="E405" t="s">
        <v>1878</v>
      </c>
      <c r="F405" t="s">
        <v>1889</v>
      </c>
      <c r="G405" s="7">
        <v>45514</v>
      </c>
      <c r="H405" t="s">
        <v>71</v>
      </c>
      <c r="I405" t="s">
        <v>165</v>
      </c>
      <c r="J405" t="s">
        <v>8</v>
      </c>
      <c r="K405">
        <f>INDEX('LAB PRICES'!$C$2:$F$12, MATCH(tblLabs[[#This Row],[Code]], 'LAB PRICES'!$A$2:$A$12, 0), MATCH(tblLabs[[#This Row],[Facility]], 'LAB PRICES'!$C$1:$F$1, 0))</f>
        <v>6</v>
      </c>
      <c r="L405">
        <f>_xlfn.XLOOKUP(
    tblLabs[[#This Row],[Code]],
    'LAB PRICES'!$A$2:$A$12,
    'LAB PRICES'!$G$2:$G$12
)</f>
        <v>23</v>
      </c>
    </row>
    <row r="406" spans="1:12" x14ac:dyDescent="0.25">
      <c r="A406" t="s">
        <v>195</v>
      </c>
      <c r="B406" t="s">
        <v>196</v>
      </c>
      <c r="C406">
        <v>12</v>
      </c>
      <c r="D406" t="s">
        <v>166</v>
      </c>
      <c r="E406" t="s">
        <v>237</v>
      </c>
      <c r="F406" t="s">
        <v>1890</v>
      </c>
      <c r="G406" s="7">
        <v>45514</v>
      </c>
      <c r="H406" t="s">
        <v>71</v>
      </c>
      <c r="I406" t="s">
        <v>165</v>
      </c>
      <c r="J406" t="s">
        <v>8</v>
      </c>
      <c r="K406">
        <f>INDEX('LAB PRICES'!$C$2:$F$12, MATCH(tblLabs[[#This Row],[Code]], 'LAB PRICES'!$A$2:$A$12, 0), MATCH(tblLabs[[#This Row],[Facility]], 'LAB PRICES'!$C$1:$F$1, 0))</f>
        <v>6</v>
      </c>
      <c r="L406">
        <f>_xlfn.XLOOKUP(
    tblLabs[[#This Row],[Code]],
    'LAB PRICES'!$A$2:$A$12,
    'LAB PRICES'!$G$2:$G$12
)</f>
        <v>27</v>
      </c>
    </row>
    <row r="407" spans="1:12" x14ac:dyDescent="0.25">
      <c r="A407" t="s">
        <v>195</v>
      </c>
      <c r="B407" t="s">
        <v>196</v>
      </c>
      <c r="C407">
        <v>12</v>
      </c>
      <c r="D407" t="s">
        <v>171</v>
      </c>
      <c r="E407" t="s">
        <v>1878</v>
      </c>
      <c r="F407" t="s">
        <v>1889</v>
      </c>
      <c r="G407" s="7">
        <v>45519</v>
      </c>
      <c r="H407" t="s">
        <v>136</v>
      </c>
      <c r="I407" t="s">
        <v>172</v>
      </c>
      <c r="J407" t="s">
        <v>8</v>
      </c>
      <c r="K407">
        <f>INDEX('LAB PRICES'!$C$2:$F$12, MATCH(tblLabs[[#This Row],[Code]], 'LAB PRICES'!$A$2:$A$12, 0), MATCH(tblLabs[[#This Row],[Facility]], 'LAB PRICES'!$C$1:$F$1, 0))</f>
        <v>6</v>
      </c>
      <c r="L407">
        <f>_xlfn.XLOOKUP(
    tblLabs[[#This Row],[Code]],
    'LAB PRICES'!$A$2:$A$12,
    'LAB PRICES'!$G$2:$G$12
)</f>
        <v>23</v>
      </c>
    </row>
    <row r="408" spans="1:12" x14ac:dyDescent="0.25">
      <c r="A408" t="s">
        <v>195</v>
      </c>
      <c r="B408" t="s">
        <v>196</v>
      </c>
      <c r="C408">
        <v>18</v>
      </c>
      <c r="D408" t="s">
        <v>173</v>
      </c>
      <c r="E408" t="s">
        <v>1878</v>
      </c>
      <c r="F408" t="s">
        <v>1889</v>
      </c>
      <c r="G408" s="7">
        <v>45520</v>
      </c>
      <c r="H408" t="s">
        <v>136</v>
      </c>
      <c r="I408" t="s">
        <v>174</v>
      </c>
      <c r="J408" t="s">
        <v>8</v>
      </c>
      <c r="K408">
        <f>INDEX('LAB PRICES'!$C$2:$F$12, MATCH(tblLabs[[#This Row],[Code]], 'LAB PRICES'!$A$2:$A$12, 0), MATCH(tblLabs[[#This Row],[Facility]], 'LAB PRICES'!$C$1:$F$1, 0))</f>
        <v>6</v>
      </c>
      <c r="L408">
        <f>_xlfn.XLOOKUP(
    tblLabs[[#This Row],[Code]],
    'LAB PRICES'!$A$2:$A$12,
    'LAB PRICES'!$G$2:$G$12
)</f>
        <v>23</v>
      </c>
    </row>
    <row r="409" spans="1:12" x14ac:dyDescent="0.25">
      <c r="A409" t="s">
        <v>195</v>
      </c>
      <c r="B409" t="s">
        <v>196</v>
      </c>
      <c r="C409">
        <v>12</v>
      </c>
      <c r="D409" t="s">
        <v>175</v>
      </c>
      <c r="E409" t="s">
        <v>1878</v>
      </c>
      <c r="F409" t="s">
        <v>1889</v>
      </c>
      <c r="G409" s="7">
        <v>45520</v>
      </c>
      <c r="H409" t="s">
        <v>136</v>
      </c>
      <c r="I409" t="s">
        <v>174</v>
      </c>
      <c r="J409" t="s">
        <v>8</v>
      </c>
      <c r="K409">
        <f>INDEX('LAB PRICES'!$C$2:$F$12, MATCH(tblLabs[[#This Row],[Code]], 'LAB PRICES'!$A$2:$A$12, 0), MATCH(tblLabs[[#This Row],[Facility]], 'LAB PRICES'!$C$1:$F$1, 0))</f>
        <v>6</v>
      </c>
      <c r="L409">
        <f>_xlfn.XLOOKUP(
    tblLabs[[#This Row],[Code]],
    'LAB PRICES'!$A$2:$A$12,
    'LAB PRICES'!$G$2:$G$12
)</f>
        <v>23</v>
      </c>
    </row>
    <row r="410" spans="1:12" x14ac:dyDescent="0.25">
      <c r="A410" t="s">
        <v>195</v>
      </c>
      <c r="B410" t="s">
        <v>196</v>
      </c>
      <c r="C410">
        <v>12</v>
      </c>
      <c r="D410" t="s">
        <v>178</v>
      </c>
      <c r="E410" t="s">
        <v>237</v>
      </c>
      <c r="F410" t="s">
        <v>1890</v>
      </c>
      <c r="G410" s="7">
        <v>45521</v>
      </c>
      <c r="H410" t="s">
        <v>136</v>
      </c>
      <c r="I410" t="s">
        <v>174</v>
      </c>
      <c r="J410" t="s">
        <v>8</v>
      </c>
      <c r="K410">
        <f>INDEX('LAB PRICES'!$C$2:$F$12, MATCH(tblLabs[[#This Row],[Code]], 'LAB PRICES'!$A$2:$A$12, 0), MATCH(tblLabs[[#This Row],[Facility]], 'LAB PRICES'!$C$1:$F$1, 0))</f>
        <v>6</v>
      </c>
      <c r="L410">
        <f>_xlfn.XLOOKUP(
    tblLabs[[#This Row],[Code]],
    'LAB PRICES'!$A$2:$A$12,
    'LAB PRICES'!$G$2:$G$12
)</f>
        <v>27</v>
      </c>
    </row>
    <row r="411" spans="1:12" x14ac:dyDescent="0.25">
      <c r="A411" t="s">
        <v>195</v>
      </c>
      <c r="B411" t="s">
        <v>196</v>
      </c>
      <c r="C411">
        <v>12</v>
      </c>
      <c r="D411" t="s">
        <v>180</v>
      </c>
      <c r="E411" t="s">
        <v>1878</v>
      </c>
      <c r="F411" t="s">
        <v>1889</v>
      </c>
      <c r="G411" s="7">
        <v>45521</v>
      </c>
      <c r="H411" t="s">
        <v>136</v>
      </c>
      <c r="I411" t="s">
        <v>177</v>
      </c>
      <c r="J411" t="s">
        <v>8</v>
      </c>
      <c r="K411">
        <f>INDEX('LAB PRICES'!$C$2:$F$12, MATCH(tblLabs[[#This Row],[Code]], 'LAB PRICES'!$A$2:$A$12, 0), MATCH(tblLabs[[#This Row],[Facility]], 'LAB PRICES'!$C$1:$F$1, 0))</f>
        <v>6</v>
      </c>
      <c r="L411">
        <f>_xlfn.XLOOKUP(
    tblLabs[[#This Row],[Code]],
    'LAB PRICES'!$A$2:$A$12,
    'LAB PRICES'!$G$2:$G$12
)</f>
        <v>23</v>
      </c>
    </row>
    <row r="412" spans="1:12" x14ac:dyDescent="0.25">
      <c r="A412" t="s">
        <v>195</v>
      </c>
      <c r="B412" t="s">
        <v>196</v>
      </c>
      <c r="C412">
        <v>18</v>
      </c>
      <c r="D412" t="s">
        <v>176</v>
      </c>
      <c r="E412" t="s">
        <v>1878</v>
      </c>
      <c r="F412" t="s">
        <v>1889</v>
      </c>
      <c r="G412" s="7">
        <v>45521</v>
      </c>
      <c r="H412" t="s">
        <v>136</v>
      </c>
      <c r="I412" t="s">
        <v>177</v>
      </c>
      <c r="J412" t="s">
        <v>8</v>
      </c>
      <c r="K412">
        <f>INDEX('LAB PRICES'!$C$2:$F$12, MATCH(tblLabs[[#This Row],[Code]], 'LAB PRICES'!$A$2:$A$12, 0), MATCH(tblLabs[[#This Row],[Facility]], 'LAB PRICES'!$C$1:$F$1, 0))</f>
        <v>6</v>
      </c>
      <c r="L412">
        <f>_xlfn.XLOOKUP(
    tblLabs[[#This Row],[Code]],
    'LAB PRICES'!$A$2:$A$12,
    'LAB PRICES'!$G$2:$G$12
)</f>
        <v>23</v>
      </c>
    </row>
    <row r="413" spans="1:12" x14ac:dyDescent="0.25">
      <c r="A413" t="s">
        <v>195</v>
      </c>
      <c r="B413" t="s">
        <v>196</v>
      </c>
      <c r="C413">
        <v>12</v>
      </c>
      <c r="D413" t="s">
        <v>179</v>
      </c>
      <c r="E413" t="s">
        <v>237</v>
      </c>
      <c r="F413" t="s">
        <v>1890</v>
      </c>
      <c r="G413" s="7">
        <v>45521</v>
      </c>
      <c r="H413" t="s">
        <v>136</v>
      </c>
      <c r="I413" t="s">
        <v>177</v>
      </c>
      <c r="J413" t="s">
        <v>8</v>
      </c>
      <c r="K413">
        <f>INDEX('LAB PRICES'!$C$2:$F$12, MATCH(tblLabs[[#This Row],[Code]], 'LAB PRICES'!$A$2:$A$12, 0), MATCH(tblLabs[[#This Row],[Facility]], 'LAB PRICES'!$C$1:$F$1, 0))</f>
        <v>6</v>
      </c>
      <c r="L413">
        <f>_xlfn.XLOOKUP(
    tblLabs[[#This Row],[Code]],
    'LAB PRICES'!$A$2:$A$12,
    'LAB PRICES'!$G$2:$G$12
)</f>
        <v>27</v>
      </c>
    </row>
    <row r="414" spans="1:12" x14ac:dyDescent="0.25">
      <c r="A414" t="s">
        <v>132</v>
      </c>
      <c r="B414" t="s">
        <v>133</v>
      </c>
      <c r="C414">
        <v>12</v>
      </c>
      <c r="D414" t="s">
        <v>120</v>
      </c>
      <c r="E414" t="s">
        <v>1878</v>
      </c>
      <c r="F414" t="s">
        <v>1889</v>
      </c>
      <c r="G414" s="7">
        <v>45527</v>
      </c>
      <c r="H414" t="s">
        <v>118</v>
      </c>
      <c r="I414" t="s">
        <v>121</v>
      </c>
      <c r="J414" t="s">
        <v>26</v>
      </c>
      <c r="K414">
        <f>INDEX('LAB PRICES'!$C$2:$F$12, MATCH(tblLabs[[#This Row],[Code]], 'LAB PRICES'!$A$2:$A$12, 0), MATCH(tblLabs[[#This Row],[Facility]], 'LAB PRICES'!$C$1:$F$1, 0))</f>
        <v>5</v>
      </c>
      <c r="L414">
        <f>_xlfn.XLOOKUP(
    tblLabs[[#This Row],[Code]],
    'LAB PRICES'!$A$2:$A$12,
    'LAB PRICES'!$G$2:$G$12
)</f>
        <v>23</v>
      </c>
    </row>
    <row r="415" spans="1:12" x14ac:dyDescent="0.25">
      <c r="A415" t="s">
        <v>132</v>
      </c>
      <c r="B415" t="s">
        <v>133</v>
      </c>
      <c r="C415">
        <v>12</v>
      </c>
      <c r="D415" t="s">
        <v>120</v>
      </c>
      <c r="E415" t="s">
        <v>1878</v>
      </c>
      <c r="F415" t="s">
        <v>1889</v>
      </c>
      <c r="G415" s="7">
        <v>45527</v>
      </c>
      <c r="H415" t="s">
        <v>118</v>
      </c>
      <c r="I415" t="s">
        <v>124</v>
      </c>
      <c r="J415" t="s">
        <v>26</v>
      </c>
      <c r="K415">
        <f>INDEX('LAB PRICES'!$C$2:$F$12, MATCH(tblLabs[[#This Row],[Code]], 'LAB PRICES'!$A$2:$A$12, 0), MATCH(tblLabs[[#This Row],[Facility]], 'LAB PRICES'!$C$1:$F$1, 0))</f>
        <v>5</v>
      </c>
      <c r="L415">
        <f>_xlfn.XLOOKUP(
    tblLabs[[#This Row],[Code]],
    'LAB PRICES'!$A$2:$A$12,
    'LAB PRICES'!$G$2:$G$12
)</f>
        <v>23</v>
      </c>
    </row>
    <row r="416" spans="1:12" x14ac:dyDescent="0.25">
      <c r="A416" t="s">
        <v>132</v>
      </c>
      <c r="B416" t="s">
        <v>133</v>
      </c>
      <c r="C416">
        <v>12</v>
      </c>
      <c r="D416" t="s">
        <v>117</v>
      </c>
      <c r="E416" t="s">
        <v>1878</v>
      </c>
      <c r="F416" t="s">
        <v>1889</v>
      </c>
      <c r="G416" s="7">
        <v>45527</v>
      </c>
      <c r="H416" t="s">
        <v>118</v>
      </c>
      <c r="I416" t="s">
        <v>119</v>
      </c>
      <c r="J416" t="s">
        <v>26</v>
      </c>
      <c r="K416">
        <f>INDEX('LAB PRICES'!$C$2:$F$12, MATCH(tblLabs[[#This Row],[Code]], 'LAB PRICES'!$A$2:$A$12, 0), MATCH(tblLabs[[#This Row],[Facility]], 'LAB PRICES'!$C$1:$F$1, 0))</f>
        <v>5</v>
      </c>
      <c r="L416">
        <f>_xlfn.XLOOKUP(
    tblLabs[[#This Row],[Code]],
    'LAB PRICES'!$A$2:$A$12,
    'LAB PRICES'!$G$2:$G$12
)</f>
        <v>23</v>
      </c>
    </row>
    <row r="417" spans="1:12" x14ac:dyDescent="0.25">
      <c r="A417" t="s">
        <v>132</v>
      </c>
      <c r="B417" t="s">
        <v>133</v>
      </c>
      <c r="C417">
        <v>6</v>
      </c>
      <c r="D417" t="s">
        <v>130</v>
      </c>
      <c r="E417" t="s">
        <v>14</v>
      </c>
      <c r="F417" t="s">
        <v>1891</v>
      </c>
      <c r="G417" s="7">
        <v>45528</v>
      </c>
      <c r="H417" t="s">
        <v>118</v>
      </c>
      <c r="I417" t="s">
        <v>119</v>
      </c>
      <c r="J417" t="s">
        <v>26</v>
      </c>
      <c r="K417">
        <f>INDEX('LAB PRICES'!$C$2:$F$12, MATCH(tblLabs[[#This Row],[Code]], 'LAB PRICES'!$A$2:$A$12, 0), MATCH(tblLabs[[#This Row],[Facility]], 'LAB PRICES'!$C$1:$F$1, 0))</f>
        <v>30</v>
      </c>
      <c r="L417">
        <f>_xlfn.XLOOKUP(
    tblLabs[[#This Row],[Code]],
    'LAB PRICES'!$A$2:$A$12,
    'LAB PRICES'!$G$2:$G$12
)</f>
        <v>100</v>
      </c>
    </row>
    <row r="418" spans="1:12" x14ac:dyDescent="0.25">
      <c r="A418" t="s">
        <v>132</v>
      </c>
      <c r="B418" t="s">
        <v>133</v>
      </c>
      <c r="C418">
        <v>9</v>
      </c>
      <c r="D418" t="s">
        <v>122</v>
      </c>
      <c r="E418" t="s">
        <v>1878</v>
      </c>
      <c r="F418" t="s">
        <v>1889</v>
      </c>
      <c r="G418" s="7">
        <v>45527</v>
      </c>
      <c r="H418" t="s">
        <v>118</v>
      </c>
      <c r="I418" t="s">
        <v>119</v>
      </c>
      <c r="J418" t="s">
        <v>26</v>
      </c>
      <c r="K418">
        <f>INDEX('LAB PRICES'!$C$2:$F$12, MATCH(tblLabs[[#This Row],[Code]], 'LAB PRICES'!$A$2:$A$12, 0), MATCH(tblLabs[[#This Row],[Facility]], 'LAB PRICES'!$C$1:$F$1, 0))</f>
        <v>5</v>
      </c>
      <c r="L418">
        <f>_xlfn.XLOOKUP(
    tblLabs[[#This Row],[Code]],
    'LAB PRICES'!$A$2:$A$12,
    'LAB PRICES'!$G$2:$G$12
)</f>
        <v>23</v>
      </c>
    </row>
    <row r="419" spans="1:12" x14ac:dyDescent="0.25">
      <c r="A419" t="s">
        <v>132</v>
      </c>
      <c r="B419" t="s">
        <v>133</v>
      </c>
      <c r="C419">
        <v>12</v>
      </c>
      <c r="D419" t="s">
        <v>123</v>
      </c>
      <c r="E419" t="s">
        <v>1878</v>
      </c>
      <c r="F419" t="s">
        <v>1889</v>
      </c>
      <c r="G419" s="7">
        <v>45527</v>
      </c>
      <c r="H419" t="s">
        <v>118</v>
      </c>
      <c r="I419" t="s">
        <v>119</v>
      </c>
      <c r="J419" t="s">
        <v>26</v>
      </c>
      <c r="K419">
        <f>INDEX('LAB PRICES'!$C$2:$F$12, MATCH(tblLabs[[#This Row],[Code]], 'LAB PRICES'!$A$2:$A$12, 0), MATCH(tblLabs[[#This Row],[Facility]], 'LAB PRICES'!$C$1:$F$1, 0))</f>
        <v>5</v>
      </c>
      <c r="L419">
        <f>_xlfn.XLOOKUP(
    tblLabs[[#This Row],[Code]],
    'LAB PRICES'!$A$2:$A$12,
    'LAB PRICES'!$G$2:$G$12
)</f>
        <v>23</v>
      </c>
    </row>
    <row r="420" spans="1:12" x14ac:dyDescent="0.25">
      <c r="A420" t="s">
        <v>132</v>
      </c>
      <c r="B420" t="s">
        <v>133</v>
      </c>
      <c r="C420">
        <v>12</v>
      </c>
      <c r="D420" t="s">
        <v>128</v>
      </c>
      <c r="E420" t="s">
        <v>237</v>
      </c>
      <c r="F420" t="s">
        <v>1890</v>
      </c>
      <c r="G420" s="7">
        <v>45528</v>
      </c>
      <c r="H420" t="s">
        <v>118</v>
      </c>
      <c r="I420" t="s">
        <v>119</v>
      </c>
      <c r="J420" t="s">
        <v>26</v>
      </c>
      <c r="K420">
        <f>INDEX('LAB PRICES'!$C$2:$F$12, MATCH(tblLabs[[#This Row],[Code]], 'LAB PRICES'!$A$2:$A$12, 0), MATCH(tblLabs[[#This Row],[Facility]], 'LAB PRICES'!$C$1:$F$1, 0))</f>
        <v>5</v>
      </c>
      <c r="L420">
        <f>_xlfn.XLOOKUP(
    tblLabs[[#This Row],[Code]],
    'LAB PRICES'!$A$2:$A$12,
    'LAB PRICES'!$G$2:$G$12
)</f>
        <v>27</v>
      </c>
    </row>
    <row r="421" spans="1:12" x14ac:dyDescent="0.25">
      <c r="A421" t="s">
        <v>132</v>
      </c>
      <c r="B421" t="s">
        <v>133</v>
      </c>
      <c r="C421">
        <v>18</v>
      </c>
      <c r="D421" t="s">
        <v>125</v>
      </c>
      <c r="E421" t="s">
        <v>1878</v>
      </c>
      <c r="F421" t="s">
        <v>1889</v>
      </c>
      <c r="G421" s="7">
        <v>45528</v>
      </c>
      <c r="H421" t="s">
        <v>126</v>
      </c>
      <c r="I421" t="s">
        <v>124</v>
      </c>
      <c r="J421" t="s">
        <v>26</v>
      </c>
      <c r="K421">
        <f>INDEX('LAB PRICES'!$C$2:$F$12, MATCH(tblLabs[[#This Row],[Code]], 'LAB PRICES'!$A$2:$A$12, 0), MATCH(tblLabs[[#This Row],[Facility]], 'LAB PRICES'!$C$1:$F$1, 0))</f>
        <v>5</v>
      </c>
      <c r="L421">
        <f>_xlfn.XLOOKUP(
    tblLabs[[#This Row],[Code]],
    'LAB PRICES'!$A$2:$A$12,
    'LAB PRICES'!$G$2:$G$12
)</f>
        <v>23</v>
      </c>
    </row>
    <row r="422" spans="1:12" x14ac:dyDescent="0.25">
      <c r="A422" t="s">
        <v>132</v>
      </c>
      <c r="B422" t="s">
        <v>133</v>
      </c>
      <c r="C422">
        <v>12</v>
      </c>
      <c r="D422" t="s">
        <v>129</v>
      </c>
      <c r="E422" t="s">
        <v>1878</v>
      </c>
      <c r="F422" t="s">
        <v>1889</v>
      </c>
      <c r="G422" s="7">
        <v>45528</v>
      </c>
      <c r="H422" t="s">
        <v>126</v>
      </c>
      <c r="I422" t="s">
        <v>124</v>
      </c>
      <c r="J422" t="s">
        <v>26</v>
      </c>
      <c r="K422">
        <f>INDEX('LAB PRICES'!$C$2:$F$12, MATCH(tblLabs[[#This Row],[Code]], 'LAB PRICES'!$A$2:$A$12, 0), MATCH(tblLabs[[#This Row],[Facility]], 'LAB PRICES'!$C$1:$F$1, 0))</f>
        <v>5</v>
      </c>
      <c r="L422">
        <f>_xlfn.XLOOKUP(
    tblLabs[[#This Row],[Code]],
    'LAB PRICES'!$A$2:$A$12,
    'LAB PRICES'!$G$2:$G$12
)</f>
        <v>23</v>
      </c>
    </row>
    <row r="423" spans="1:12" x14ac:dyDescent="0.25">
      <c r="A423" t="s">
        <v>132</v>
      </c>
      <c r="B423" t="s">
        <v>133</v>
      </c>
      <c r="C423">
        <v>12</v>
      </c>
      <c r="D423" t="s">
        <v>127</v>
      </c>
      <c r="E423" t="s">
        <v>237</v>
      </c>
      <c r="F423" t="s">
        <v>1890</v>
      </c>
      <c r="G423" s="7">
        <v>45528</v>
      </c>
      <c r="H423" t="s">
        <v>126</v>
      </c>
      <c r="I423" t="s">
        <v>124</v>
      </c>
      <c r="J423" t="s">
        <v>26</v>
      </c>
      <c r="K423">
        <f>INDEX('LAB PRICES'!$C$2:$F$12, MATCH(tblLabs[[#This Row],[Code]], 'LAB PRICES'!$A$2:$A$12, 0), MATCH(tblLabs[[#This Row],[Facility]], 'LAB PRICES'!$C$1:$F$1, 0))</f>
        <v>5</v>
      </c>
      <c r="L423">
        <f>_xlfn.XLOOKUP(
    tblLabs[[#This Row],[Code]],
    'LAB PRICES'!$A$2:$A$12,
    'LAB PRICES'!$G$2:$G$12
)</f>
        <v>27</v>
      </c>
    </row>
    <row r="424" spans="1:12" x14ac:dyDescent="0.25">
      <c r="A424" t="s">
        <v>132</v>
      </c>
      <c r="B424" t="s">
        <v>133</v>
      </c>
      <c r="C424">
        <v>6</v>
      </c>
      <c r="D424" t="s">
        <v>131</v>
      </c>
      <c r="E424" t="s">
        <v>14</v>
      </c>
      <c r="F424" t="s">
        <v>1891</v>
      </c>
      <c r="G424" s="7">
        <v>45529</v>
      </c>
      <c r="H424" t="s">
        <v>126</v>
      </c>
      <c r="I424" t="s">
        <v>124</v>
      </c>
      <c r="J424" t="s">
        <v>26</v>
      </c>
      <c r="K424">
        <f>INDEX('LAB PRICES'!$C$2:$F$12, MATCH(tblLabs[[#This Row],[Code]], 'LAB PRICES'!$A$2:$A$12, 0), MATCH(tblLabs[[#This Row],[Facility]], 'LAB PRICES'!$C$1:$F$1, 0))</f>
        <v>30</v>
      </c>
      <c r="L424">
        <f>_xlfn.XLOOKUP(
    tblLabs[[#This Row],[Code]],
    'LAB PRICES'!$A$2:$A$12,
    'LAB PRICES'!$G$2:$G$12
)</f>
        <v>100</v>
      </c>
    </row>
    <row r="425" spans="1:12" x14ac:dyDescent="0.25">
      <c r="A425" t="s">
        <v>706</v>
      </c>
      <c r="B425" t="s">
        <v>707</v>
      </c>
      <c r="C425">
        <v>12</v>
      </c>
      <c r="D425" t="s">
        <v>708</v>
      </c>
      <c r="E425" t="s">
        <v>1878</v>
      </c>
      <c r="F425" t="s">
        <v>1889</v>
      </c>
      <c r="G425" s="7">
        <v>45758</v>
      </c>
      <c r="H425" t="s">
        <v>709</v>
      </c>
      <c r="I425" t="s">
        <v>710</v>
      </c>
      <c r="J425" t="s">
        <v>700</v>
      </c>
      <c r="K425">
        <f>INDEX('LAB PRICES'!$C$2:$F$12, MATCH(tblLabs[[#This Row],[Code]], 'LAB PRICES'!$A$2:$A$12, 0), MATCH(tblLabs[[#This Row],[Facility]], 'LAB PRICES'!$C$1:$F$1, 0))</f>
        <v>6</v>
      </c>
      <c r="L425">
        <f>_xlfn.XLOOKUP(
    tblLabs[[#This Row],[Code]],
    'LAB PRICES'!$A$2:$A$12,
    'LAB PRICES'!$G$2:$G$12
)</f>
        <v>23</v>
      </c>
    </row>
    <row r="426" spans="1:12" x14ac:dyDescent="0.25">
      <c r="A426" t="s">
        <v>706</v>
      </c>
      <c r="B426" t="s">
        <v>707</v>
      </c>
      <c r="C426">
        <v>9</v>
      </c>
      <c r="D426" t="s">
        <v>712</v>
      </c>
      <c r="E426" t="s">
        <v>1878</v>
      </c>
      <c r="F426" t="s">
        <v>1889</v>
      </c>
      <c r="G426" s="7">
        <v>45759</v>
      </c>
      <c r="H426" t="s">
        <v>709</v>
      </c>
      <c r="I426" t="s">
        <v>710</v>
      </c>
      <c r="J426" t="s">
        <v>700</v>
      </c>
      <c r="K426">
        <f>INDEX('LAB PRICES'!$C$2:$F$12, MATCH(tblLabs[[#This Row],[Code]], 'LAB PRICES'!$A$2:$A$12, 0), MATCH(tblLabs[[#This Row],[Facility]], 'LAB PRICES'!$C$1:$F$1, 0))</f>
        <v>6</v>
      </c>
      <c r="L426">
        <f>_xlfn.XLOOKUP(
    tblLabs[[#This Row],[Code]],
    'LAB PRICES'!$A$2:$A$12,
    'LAB PRICES'!$G$2:$G$12
)</f>
        <v>23</v>
      </c>
    </row>
    <row r="427" spans="1:12" x14ac:dyDescent="0.25">
      <c r="A427" t="s">
        <v>706</v>
      </c>
      <c r="B427" t="s">
        <v>707</v>
      </c>
      <c r="C427">
        <v>22</v>
      </c>
      <c r="D427" t="s">
        <v>711</v>
      </c>
      <c r="E427" t="s">
        <v>1878</v>
      </c>
      <c r="F427" t="s">
        <v>1889</v>
      </c>
      <c r="G427" s="7">
        <v>45759</v>
      </c>
      <c r="H427" t="s">
        <v>709</v>
      </c>
      <c r="I427" t="s">
        <v>710</v>
      </c>
      <c r="J427" t="s">
        <v>700</v>
      </c>
      <c r="K427">
        <f>INDEX('LAB PRICES'!$C$2:$F$12, MATCH(tblLabs[[#This Row],[Code]], 'LAB PRICES'!$A$2:$A$12, 0), MATCH(tblLabs[[#This Row],[Facility]], 'LAB PRICES'!$C$1:$F$1, 0))</f>
        <v>6</v>
      </c>
      <c r="L427">
        <f>_xlfn.XLOOKUP(
    tblLabs[[#This Row],[Code]],
    'LAB PRICES'!$A$2:$A$12,
    'LAB PRICES'!$G$2:$G$12
)</f>
        <v>23</v>
      </c>
    </row>
    <row r="428" spans="1:12" x14ac:dyDescent="0.25">
      <c r="A428" t="s">
        <v>706</v>
      </c>
      <c r="B428" t="s">
        <v>707</v>
      </c>
      <c r="C428">
        <v>12</v>
      </c>
      <c r="D428" t="s">
        <v>714</v>
      </c>
      <c r="E428" t="s">
        <v>237</v>
      </c>
      <c r="F428" t="s">
        <v>1890</v>
      </c>
      <c r="G428" s="7">
        <v>45760</v>
      </c>
      <c r="H428" t="s">
        <v>118</v>
      </c>
      <c r="I428" t="s">
        <v>710</v>
      </c>
      <c r="J428" t="s">
        <v>700</v>
      </c>
      <c r="K428">
        <f>INDEX('LAB PRICES'!$C$2:$F$12, MATCH(tblLabs[[#This Row],[Code]], 'LAB PRICES'!$A$2:$A$12, 0), MATCH(tblLabs[[#This Row],[Facility]], 'LAB PRICES'!$C$1:$F$1, 0))</f>
        <v>6</v>
      </c>
      <c r="L428">
        <f>_xlfn.XLOOKUP(
    tblLabs[[#This Row],[Code]],
    'LAB PRICES'!$A$2:$A$12,
    'LAB PRICES'!$G$2:$G$12
)</f>
        <v>27</v>
      </c>
    </row>
    <row r="429" spans="1:12" x14ac:dyDescent="0.25">
      <c r="A429" t="s">
        <v>706</v>
      </c>
      <c r="B429" t="s">
        <v>707</v>
      </c>
      <c r="C429">
        <v>16</v>
      </c>
      <c r="D429" t="s">
        <v>713</v>
      </c>
      <c r="E429" t="s">
        <v>1878</v>
      </c>
      <c r="F429" t="s">
        <v>1889</v>
      </c>
      <c r="G429" s="7">
        <v>45759</v>
      </c>
      <c r="H429" t="s">
        <v>118</v>
      </c>
      <c r="I429" t="s">
        <v>710</v>
      </c>
      <c r="J429" t="s">
        <v>700</v>
      </c>
      <c r="K429">
        <f>INDEX('LAB PRICES'!$C$2:$F$12, MATCH(tblLabs[[#This Row],[Code]], 'LAB PRICES'!$A$2:$A$12, 0), MATCH(tblLabs[[#This Row],[Facility]], 'LAB PRICES'!$C$1:$F$1, 0))</f>
        <v>6</v>
      </c>
      <c r="L429">
        <f>_xlfn.XLOOKUP(
    tblLabs[[#This Row],[Code]],
    'LAB PRICES'!$A$2:$A$12,
    'LAB PRICES'!$G$2:$G$12
)</f>
        <v>23</v>
      </c>
    </row>
    <row r="430" spans="1:12" x14ac:dyDescent="0.25">
      <c r="A430" t="s">
        <v>706</v>
      </c>
      <c r="B430" t="s">
        <v>707</v>
      </c>
      <c r="C430">
        <v>12</v>
      </c>
      <c r="D430" t="s">
        <v>721</v>
      </c>
      <c r="E430" t="s">
        <v>237</v>
      </c>
      <c r="F430" t="s">
        <v>1890</v>
      </c>
      <c r="G430" s="7">
        <v>45808</v>
      </c>
      <c r="H430" t="s">
        <v>118</v>
      </c>
      <c r="I430" t="s">
        <v>718</v>
      </c>
      <c r="J430" t="s">
        <v>700</v>
      </c>
      <c r="K430">
        <f>INDEX('LAB PRICES'!$C$2:$F$12, MATCH(tblLabs[[#This Row],[Code]], 'LAB PRICES'!$A$2:$A$12, 0), MATCH(tblLabs[[#This Row],[Facility]], 'LAB PRICES'!$C$1:$F$1, 0))</f>
        <v>6</v>
      </c>
      <c r="L430">
        <f>_xlfn.XLOOKUP(
    tblLabs[[#This Row],[Code]],
    'LAB PRICES'!$A$2:$A$12,
    'LAB PRICES'!$G$2:$G$12
)</f>
        <v>27</v>
      </c>
    </row>
    <row r="431" spans="1:12" x14ac:dyDescent="0.25">
      <c r="A431" t="s">
        <v>706</v>
      </c>
      <c r="B431" t="s">
        <v>707</v>
      </c>
      <c r="C431">
        <v>12</v>
      </c>
      <c r="D431" t="s">
        <v>717</v>
      </c>
      <c r="E431" t="s">
        <v>1878</v>
      </c>
      <c r="F431" t="s">
        <v>1889</v>
      </c>
      <c r="G431" s="7">
        <v>45807</v>
      </c>
      <c r="H431" t="s">
        <v>118</v>
      </c>
      <c r="I431" t="s">
        <v>718</v>
      </c>
      <c r="J431" t="s">
        <v>700</v>
      </c>
      <c r="K431">
        <f>INDEX('LAB PRICES'!$C$2:$F$12, MATCH(tblLabs[[#This Row],[Code]], 'LAB PRICES'!$A$2:$A$12, 0), MATCH(tblLabs[[#This Row],[Facility]], 'LAB PRICES'!$C$1:$F$1, 0))</f>
        <v>6</v>
      </c>
      <c r="L431">
        <f>_xlfn.XLOOKUP(
    tblLabs[[#This Row],[Code]],
    'LAB PRICES'!$A$2:$A$12,
    'LAB PRICES'!$G$2:$G$12
)</f>
        <v>23</v>
      </c>
    </row>
    <row r="432" spans="1:12" x14ac:dyDescent="0.25">
      <c r="A432" t="s">
        <v>706</v>
      </c>
      <c r="B432" t="s">
        <v>707</v>
      </c>
      <c r="C432">
        <v>9</v>
      </c>
      <c r="D432" t="s">
        <v>719</v>
      </c>
      <c r="E432" t="s">
        <v>1878</v>
      </c>
      <c r="F432" t="s">
        <v>1889</v>
      </c>
      <c r="G432" s="7">
        <v>45807</v>
      </c>
      <c r="H432" t="s">
        <v>118</v>
      </c>
      <c r="I432" t="s">
        <v>718</v>
      </c>
      <c r="J432" t="s">
        <v>700</v>
      </c>
      <c r="K432">
        <f>INDEX('LAB PRICES'!$C$2:$F$12, MATCH(tblLabs[[#This Row],[Code]], 'LAB PRICES'!$A$2:$A$12, 0), MATCH(tblLabs[[#This Row],[Facility]], 'LAB PRICES'!$C$1:$F$1, 0))</f>
        <v>6</v>
      </c>
      <c r="L432">
        <f>_xlfn.XLOOKUP(
    tblLabs[[#This Row],[Code]],
    'LAB PRICES'!$A$2:$A$12,
    'LAB PRICES'!$G$2:$G$12
)</f>
        <v>23</v>
      </c>
    </row>
    <row r="433" spans="1:12" x14ac:dyDescent="0.25">
      <c r="A433" t="s">
        <v>706</v>
      </c>
      <c r="B433" t="s">
        <v>707</v>
      </c>
      <c r="C433">
        <v>6</v>
      </c>
      <c r="D433" t="s">
        <v>720</v>
      </c>
      <c r="E433" t="s">
        <v>1878</v>
      </c>
      <c r="F433" t="s">
        <v>1889</v>
      </c>
      <c r="G433" s="7">
        <v>45807</v>
      </c>
      <c r="H433" t="s">
        <v>118</v>
      </c>
      <c r="I433" t="s">
        <v>718</v>
      </c>
      <c r="J433" t="s">
        <v>700</v>
      </c>
      <c r="K433">
        <f>INDEX('LAB PRICES'!$C$2:$F$12, MATCH(tblLabs[[#This Row],[Code]], 'LAB PRICES'!$A$2:$A$12, 0), MATCH(tblLabs[[#This Row],[Facility]], 'LAB PRICES'!$C$1:$F$1, 0))</f>
        <v>6</v>
      </c>
      <c r="L433">
        <f>_xlfn.XLOOKUP(
    tblLabs[[#This Row],[Code]],
    'LAB PRICES'!$A$2:$A$12,
    'LAB PRICES'!$G$2:$G$12
)</f>
        <v>23</v>
      </c>
    </row>
    <row r="434" spans="1:12" x14ac:dyDescent="0.25">
      <c r="A434" t="s">
        <v>706</v>
      </c>
      <c r="B434" t="s">
        <v>707</v>
      </c>
      <c r="C434">
        <v>5</v>
      </c>
      <c r="D434" t="s">
        <v>715</v>
      </c>
      <c r="E434" t="s">
        <v>14</v>
      </c>
      <c r="F434" t="s">
        <v>1891</v>
      </c>
      <c r="G434" s="7">
        <v>45760</v>
      </c>
      <c r="H434" t="s">
        <v>118</v>
      </c>
      <c r="I434" t="s">
        <v>710</v>
      </c>
      <c r="J434" t="s">
        <v>700</v>
      </c>
      <c r="K434">
        <f>INDEX('LAB PRICES'!$C$2:$F$12, MATCH(tblLabs[[#This Row],[Code]], 'LAB PRICES'!$A$2:$A$12, 0), MATCH(tblLabs[[#This Row],[Facility]], 'LAB PRICES'!$C$1:$F$1, 0))</f>
        <v>40</v>
      </c>
      <c r="L434">
        <f>_xlfn.XLOOKUP(
    tblLabs[[#This Row],[Code]],
    'LAB PRICES'!$A$2:$A$12,
    'LAB PRICES'!$G$2:$G$12
)</f>
        <v>100</v>
      </c>
    </row>
    <row r="435" spans="1:12" x14ac:dyDescent="0.25">
      <c r="A435" t="s">
        <v>706</v>
      </c>
      <c r="B435" t="s">
        <v>707</v>
      </c>
      <c r="C435">
        <v>3</v>
      </c>
      <c r="D435" t="s">
        <v>722</v>
      </c>
      <c r="E435" t="s">
        <v>14</v>
      </c>
      <c r="F435" t="s">
        <v>1891</v>
      </c>
      <c r="G435" s="7">
        <v>45808</v>
      </c>
      <c r="H435" t="s">
        <v>118</v>
      </c>
      <c r="I435" t="s">
        <v>718</v>
      </c>
      <c r="J435" t="s">
        <v>700</v>
      </c>
      <c r="K435">
        <f>INDEX('LAB PRICES'!$C$2:$F$12, MATCH(tblLabs[[#This Row],[Code]], 'LAB PRICES'!$A$2:$A$12, 0), MATCH(tblLabs[[#This Row],[Facility]], 'LAB PRICES'!$C$1:$F$1, 0))</f>
        <v>40</v>
      </c>
      <c r="L435">
        <f>_xlfn.XLOOKUP(
    tblLabs[[#This Row],[Code]],
    'LAB PRICES'!$A$2:$A$12,
    'LAB PRICES'!$G$2:$G$12
)</f>
        <v>100</v>
      </c>
    </row>
    <row r="436" spans="1:12" x14ac:dyDescent="0.25">
      <c r="A436" t="s">
        <v>706</v>
      </c>
      <c r="B436" t="s">
        <v>707</v>
      </c>
      <c r="C436">
        <v>12</v>
      </c>
      <c r="D436" t="s">
        <v>716</v>
      </c>
      <c r="E436" t="s">
        <v>1878</v>
      </c>
      <c r="F436" t="s">
        <v>1889</v>
      </c>
      <c r="G436" s="7">
        <v>45757</v>
      </c>
      <c r="H436" t="s">
        <v>25</v>
      </c>
      <c r="I436" t="s">
        <v>710</v>
      </c>
      <c r="J436" t="s">
        <v>8</v>
      </c>
      <c r="K436">
        <f>INDEX('LAB PRICES'!$C$2:$F$12, MATCH(tblLabs[[#This Row],[Code]], 'LAB PRICES'!$A$2:$A$12, 0), MATCH(tblLabs[[#This Row],[Facility]], 'LAB PRICES'!$C$1:$F$1, 0))</f>
        <v>6</v>
      </c>
      <c r="L436">
        <f>_xlfn.XLOOKUP(
    tblLabs[[#This Row],[Code]],
    'LAB PRICES'!$A$2:$A$12,
    'LAB PRICES'!$G$2:$G$12
)</f>
        <v>23</v>
      </c>
    </row>
    <row r="437" spans="1:12" x14ac:dyDescent="0.25">
      <c r="A437" t="s">
        <v>636</v>
      </c>
      <c r="B437" t="s">
        <v>637</v>
      </c>
      <c r="C437">
        <v>6</v>
      </c>
      <c r="D437" t="s">
        <v>643</v>
      </c>
      <c r="E437" t="s">
        <v>14</v>
      </c>
      <c r="F437" t="s">
        <v>1891</v>
      </c>
      <c r="G437" s="7">
        <v>45437</v>
      </c>
      <c r="H437" t="s">
        <v>142</v>
      </c>
      <c r="I437" t="s">
        <v>638</v>
      </c>
      <c r="J437" t="s">
        <v>8</v>
      </c>
      <c r="K437">
        <f>INDEX('LAB PRICES'!$C$2:$F$12, MATCH(tblLabs[[#This Row],[Code]], 'LAB PRICES'!$A$2:$A$12, 0), MATCH(tblLabs[[#This Row],[Facility]], 'LAB PRICES'!$C$1:$F$1, 0))</f>
        <v>40</v>
      </c>
      <c r="L437">
        <f>_xlfn.XLOOKUP(
    tblLabs[[#This Row],[Code]],
    'LAB PRICES'!$A$2:$A$12,
    'LAB PRICES'!$G$2:$G$12
)</f>
        <v>100</v>
      </c>
    </row>
    <row r="438" spans="1:12" x14ac:dyDescent="0.25">
      <c r="A438" t="s">
        <v>636</v>
      </c>
      <c r="B438" t="s">
        <v>637</v>
      </c>
      <c r="C438">
        <v>3</v>
      </c>
      <c r="D438" t="s">
        <v>2574</v>
      </c>
      <c r="E438" t="s">
        <v>61</v>
      </c>
      <c r="F438" t="s">
        <v>1892</v>
      </c>
      <c r="G438" s="7">
        <v>45425</v>
      </c>
      <c r="H438" t="s">
        <v>228</v>
      </c>
      <c r="I438" t="s">
        <v>638</v>
      </c>
      <c r="J438" t="s">
        <v>8</v>
      </c>
      <c r="K438">
        <f>INDEX('LAB PRICES'!$C$2:$F$12, MATCH(tblLabs[[#This Row],[Code]], 'LAB PRICES'!$A$2:$A$12, 0), MATCH(tblLabs[[#This Row],[Facility]], 'LAB PRICES'!$C$1:$F$1, 0))</f>
        <v>16</v>
      </c>
      <c r="L438">
        <f>_xlfn.XLOOKUP(
    tblLabs[[#This Row],[Code]],
    'LAB PRICES'!$A$2:$A$12,
    'LAB PRICES'!$G$2:$G$12
)</f>
        <v>23</v>
      </c>
    </row>
    <row r="439" spans="1:12" x14ac:dyDescent="0.25">
      <c r="A439" t="s">
        <v>636</v>
      </c>
      <c r="B439" t="s">
        <v>637</v>
      </c>
      <c r="C439">
        <v>17</v>
      </c>
      <c r="D439" t="s">
        <v>639</v>
      </c>
      <c r="E439" t="s">
        <v>1878</v>
      </c>
      <c r="F439" t="s">
        <v>1889</v>
      </c>
      <c r="G439" s="7">
        <v>45435</v>
      </c>
      <c r="H439" t="s">
        <v>142</v>
      </c>
      <c r="I439" t="s">
        <v>638</v>
      </c>
      <c r="J439" t="s">
        <v>8</v>
      </c>
      <c r="K439">
        <f>INDEX('LAB PRICES'!$C$2:$F$12, MATCH(tblLabs[[#This Row],[Code]], 'LAB PRICES'!$A$2:$A$12, 0), MATCH(tblLabs[[#This Row],[Facility]], 'LAB PRICES'!$C$1:$F$1, 0))</f>
        <v>6</v>
      </c>
      <c r="L439">
        <f>_xlfn.XLOOKUP(
    tblLabs[[#This Row],[Code]],
    'LAB PRICES'!$A$2:$A$12,
    'LAB PRICES'!$G$2:$G$12
)</f>
        <v>23</v>
      </c>
    </row>
    <row r="440" spans="1:12" x14ac:dyDescent="0.25">
      <c r="A440" t="s">
        <v>636</v>
      </c>
      <c r="B440" t="s">
        <v>637</v>
      </c>
      <c r="C440">
        <v>14</v>
      </c>
      <c r="D440" t="s">
        <v>641</v>
      </c>
      <c r="E440" t="s">
        <v>1878</v>
      </c>
      <c r="F440" t="s">
        <v>1889</v>
      </c>
      <c r="G440" s="7">
        <v>45436</v>
      </c>
      <c r="H440" t="s">
        <v>142</v>
      </c>
      <c r="I440" t="s">
        <v>638</v>
      </c>
      <c r="J440" t="s">
        <v>8</v>
      </c>
      <c r="K440">
        <f>INDEX('LAB PRICES'!$C$2:$F$12, MATCH(tblLabs[[#This Row],[Code]], 'LAB PRICES'!$A$2:$A$12, 0), MATCH(tblLabs[[#This Row],[Facility]], 'LAB PRICES'!$C$1:$F$1, 0))</f>
        <v>6</v>
      </c>
      <c r="L440">
        <f>_xlfn.XLOOKUP(
    tblLabs[[#This Row],[Code]],
    'LAB PRICES'!$A$2:$A$12,
    'LAB PRICES'!$G$2:$G$12
)</f>
        <v>23</v>
      </c>
    </row>
    <row r="441" spans="1:12" x14ac:dyDescent="0.25">
      <c r="A441" t="s">
        <v>636</v>
      </c>
      <c r="B441" t="s">
        <v>637</v>
      </c>
      <c r="C441">
        <v>17</v>
      </c>
      <c r="D441" t="s">
        <v>640</v>
      </c>
      <c r="E441" t="s">
        <v>1878</v>
      </c>
      <c r="F441" t="s">
        <v>1889</v>
      </c>
      <c r="G441" s="7">
        <v>45436</v>
      </c>
      <c r="H441" t="s">
        <v>142</v>
      </c>
      <c r="I441" t="s">
        <v>638</v>
      </c>
      <c r="J441" t="s">
        <v>8</v>
      </c>
      <c r="K441">
        <f>INDEX('LAB PRICES'!$C$2:$F$12, MATCH(tblLabs[[#This Row],[Code]], 'LAB PRICES'!$A$2:$A$12, 0), MATCH(tblLabs[[#This Row],[Facility]], 'LAB PRICES'!$C$1:$F$1, 0))</f>
        <v>6</v>
      </c>
      <c r="L441">
        <f>_xlfn.XLOOKUP(
    tblLabs[[#This Row],[Code]],
    'LAB PRICES'!$A$2:$A$12,
    'LAB PRICES'!$G$2:$G$12
)</f>
        <v>23</v>
      </c>
    </row>
    <row r="442" spans="1:12" x14ac:dyDescent="0.25">
      <c r="A442" t="s">
        <v>636</v>
      </c>
      <c r="B442" t="s">
        <v>637</v>
      </c>
      <c r="C442">
        <v>17</v>
      </c>
      <c r="D442" t="s">
        <v>642</v>
      </c>
      <c r="E442" t="s">
        <v>237</v>
      </c>
      <c r="F442" t="s">
        <v>1890</v>
      </c>
      <c r="G442" s="7">
        <v>45437</v>
      </c>
      <c r="H442" t="s">
        <v>142</v>
      </c>
      <c r="I442" t="s">
        <v>638</v>
      </c>
      <c r="J442" t="s">
        <v>8</v>
      </c>
      <c r="K442">
        <f>INDEX('LAB PRICES'!$C$2:$F$12, MATCH(tblLabs[[#This Row],[Code]], 'LAB PRICES'!$A$2:$A$12, 0), MATCH(tblLabs[[#This Row],[Facility]], 'LAB PRICES'!$C$1:$F$1, 0))</f>
        <v>6</v>
      </c>
      <c r="L442">
        <f>_xlfn.XLOOKUP(
    tblLabs[[#This Row],[Code]],
    'LAB PRICES'!$A$2:$A$12,
    'LAB PRICES'!$G$2:$G$12
)</f>
        <v>27</v>
      </c>
    </row>
    <row r="443" spans="1:12" x14ac:dyDescent="0.25">
      <c r="A443" t="s">
        <v>636</v>
      </c>
      <c r="B443" t="s">
        <v>637</v>
      </c>
      <c r="C443">
        <v>26</v>
      </c>
      <c r="D443" t="s">
        <v>647</v>
      </c>
      <c r="E443" t="s">
        <v>1878</v>
      </c>
      <c r="F443" t="s">
        <v>1889</v>
      </c>
      <c r="G443" s="7">
        <v>45472</v>
      </c>
      <c r="H443" t="s">
        <v>142</v>
      </c>
      <c r="I443" t="s">
        <v>638</v>
      </c>
      <c r="J443" t="s">
        <v>8</v>
      </c>
      <c r="K443">
        <f>INDEX('LAB PRICES'!$C$2:$F$12, MATCH(tblLabs[[#This Row],[Code]], 'LAB PRICES'!$A$2:$A$12, 0), MATCH(tblLabs[[#This Row],[Facility]], 'LAB PRICES'!$C$1:$F$1, 0))</f>
        <v>6</v>
      </c>
      <c r="L443">
        <f>_xlfn.XLOOKUP(
    tblLabs[[#This Row],[Code]],
    'LAB PRICES'!$A$2:$A$12,
    'LAB PRICES'!$G$2:$G$12
)</f>
        <v>23</v>
      </c>
    </row>
    <row r="444" spans="1:12" x14ac:dyDescent="0.25">
      <c r="A444" t="s">
        <v>636</v>
      </c>
      <c r="B444" t="s">
        <v>637</v>
      </c>
      <c r="C444">
        <v>6</v>
      </c>
      <c r="D444" t="s">
        <v>649</v>
      </c>
      <c r="E444" t="s">
        <v>14</v>
      </c>
      <c r="F444" t="s">
        <v>1891</v>
      </c>
      <c r="G444" s="7">
        <v>45473</v>
      </c>
      <c r="H444" t="s">
        <v>142</v>
      </c>
      <c r="I444" t="s">
        <v>638</v>
      </c>
      <c r="J444" t="s">
        <v>8</v>
      </c>
      <c r="K444">
        <f>INDEX('LAB PRICES'!$C$2:$F$12, MATCH(tblLabs[[#This Row],[Code]], 'LAB PRICES'!$A$2:$A$12, 0), MATCH(tblLabs[[#This Row],[Facility]], 'LAB PRICES'!$C$1:$F$1, 0))</f>
        <v>40</v>
      </c>
      <c r="L444">
        <f>_xlfn.XLOOKUP(
    tblLabs[[#This Row],[Code]],
    'LAB PRICES'!$A$2:$A$12,
    'LAB PRICES'!$G$2:$G$12
)</f>
        <v>100</v>
      </c>
    </row>
    <row r="445" spans="1:12" x14ac:dyDescent="0.25">
      <c r="A445" t="s">
        <v>636</v>
      </c>
      <c r="B445" t="s">
        <v>637</v>
      </c>
      <c r="C445">
        <v>17</v>
      </c>
      <c r="D445" t="s">
        <v>644</v>
      </c>
      <c r="E445" t="s">
        <v>1878</v>
      </c>
      <c r="F445" t="s">
        <v>1889</v>
      </c>
      <c r="G445" s="7">
        <v>45470</v>
      </c>
      <c r="H445" t="s">
        <v>142</v>
      </c>
      <c r="I445" t="s">
        <v>638</v>
      </c>
      <c r="J445" t="s">
        <v>8</v>
      </c>
      <c r="K445">
        <f>INDEX('LAB PRICES'!$C$2:$F$12, MATCH(tblLabs[[#This Row],[Code]], 'LAB PRICES'!$A$2:$A$12, 0), MATCH(tblLabs[[#This Row],[Facility]], 'LAB PRICES'!$C$1:$F$1, 0))</f>
        <v>6</v>
      </c>
      <c r="L445">
        <f>_xlfn.XLOOKUP(
    tblLabs[[#This Row],[Code]],
    'LAB PRICES'!$A$2:$A$12,
    'LAB PRICES'!$G$2:$G$12
)</f>
        <v>23</v>
      </c>
    </row>
    <row r="446" spans="1:12" x14ac:dyDescent="0.25">
      <c r="A446" t="s">
        <v>636</v>
      </c>
      <c r="B446" t="s">
        <v>637</v>
      </c>
      <c r="C446">
        <v>11</v>
      </c>
      <c r="D446" t="s">
        <v>645</v>
      </c>
      <c r="E446" t="s">
        <v>1878</v>
      </c>
      <c r="F446" t="s">
        <v>1889</v>
      </c>
      <c r="G446" s="7">
        <v>45471</v>
      </c>
      <c r="H446" t="s">
        <v>142</v>
      </c>
      <c r="I446" t="s">
        <v>638</v>
      </c>
      <c r="J446" t="s">
        <v>8</v>
      </c>
      <c r="K446">
        <f>INDEX('LAB PRICES'!$C$2:$F$12, MATCH(tblLabs[[#This Row],[Code]], 'LAB PRICES'!$A$2:$A$12, 0), MATCH(tblLabs[[#This Row],[Facility]], 'LAB PRICES'!$C$1:$F$1, 0))</f>
        <v>6</v>
      </c>
      <c r="L446">
        <f>_xlfn.XLOOKUP(
    tblLabs[[#This Row],[Code]],
    'LAB PRICES'!$A$2:$A$12,
    'LAB PRICES'!$G$2:$G$12
)</f>
        <v>23</v>
      </c>
    </row>
    <row r="447" spans="1:12" x14ac:dyDescent="0.25">
      <c r="A447" t="s">
        <v>636</v>
      </c>
      <c r="B447" t="s">
        <v>637</v>
      </c>
      <c r="C447">
        <v>14</v>
      </c>
      <c r="D447" t="s">
        <v>646</v>
      </c>
      <c r="E447" t="s">
        <v>1878</v>
      </c>
      <c r="F447" t="s">
        <v>1889</v>
      </c>
      <c r="G447" s="7">
        <v>45471</v>
      </c>
      <c r="H447" t="s">
        <v>142</v>
      </c>
      <c r="I447" t="s">
        <v>638</v>
      </c>
      <c r="J447" t="s">
        <v>8</v>
      </c>
      <c r="K447">
        <f>INDEX('LAB PRICES'!$C$2:$F$12, MATCH(tblLabs[[#This Row],[Code]], 'LAB PRICES'!$A$2:$A$12, 0), MATCH(tblLabs[[#This Row],[Facility]], 'LAB PRICES'!$C$1:$F$1, 0))</f>
        <v>6</v>
      </c>
      <c r="L447">
        <f>_xlfn.XLOOKUP(
    tblLabs[[#This Row],[Code]],
    'LAB PRICES'!$A$2:$A$12,
    'LAB PRICES'!$G$2:$G$12
)</f>
        <v>23</v>
      </c>
    </row>
    <row r="448" spans="1:12" x14ac:dyDescent="0.25">
      <c r="A448" t="s">
        <v>636</v>
      </c>
      <c r="B448" t="s">
        <v>637</v>
      </c>
      <c r="C448">
        <v>17</v>
      </c>
      <c r="D448" t="s">
        <v>648</v>
      </c>
      <c r="E448" t="s">
        <v>237</v>
      </c>
      <c r="F448" t="s">
        <v>1890</v>
      </c>
      <c r="G448" s="7">
        <v>45473</v>
      </c>
      <c r="H448" t="s">
        <v>142</v>
      </c>
      <c r="I448" t="s">
        <v>638</v>
      </c>
      <c r="J448" t="s">
        <v>8</v>
      </c>
      <c r="K448">
        <f>INDEX('LAB PRICES'!$C$2:$F$12, MATCH(tblLabs[[#This Row],[Code]], 'LAB PRICES'!$A$2:$A$12, 0), MATCH(tblLabs[[#This Row],[Facility]], 'LAB PRICES'!$C$1:$F$1, 0))</f>
        <v>6</v>
      </c>
      <c r="L448">
        <f>_xlfn.XLOOKUP(
    tblLabs[[#This Row],[Code]],
    'LAB PRICES'!$A$2:$A$12,
    'LAB PRICES'!$G$2:$G$12
)</f>
        <v>27</v>
      </c>
    </row>
    <row r="449" spans="1:12" x14ac:dyDescent="0.25">
      <c r="A449" t="s">
        <v>636</v>
      </c>
      <c r="B449" t="s">
        <v>637</v>
      </c>
      <c r="C449">
        <v>6</v>
      </c>
      <c r="D449" t="s">
        <v>650</v>
      </c>
      <c r="E449" t="s">
        <v>1806</v>
      </c>
      <c r="F449" t="s">
        <v>1890</v>
      </c>
      <c r="G449" s="7">
        <v>45653</v>
      </c>
      <c r="H449" t="s">
        <v>25</v>
      </c>
      <c r="I449" t="s">
        <v>651</v>
      </c>
      <c r="J449" t="s">
        <v>26</v>
      </c>
      <c r="K449">
        <f>INDEX('LAB PRICES'!$C$2:$F$12, MATCH(tblLabs[[#This Row],[Code]], 'LAB PRICES'!$A$2:$A$12, 0), MATCH(tblLabs[[#This Row],[Facility]], 'LAB PRICES'!$C$1:$F$1, 0))</f>
        <v>5</v>
      </c>
      <c r="L449">
        <f>_xlfn.XLOOKUP(
    tblLabs[[#This Row],[Code]],
    'LAB PRICES'!$A$2:$A$12,
    'LAB PRICES'!$G$2:$G$12
)</f>
        <v>27</v>
      </c>
    </row>
    <row r="450" spans="1:12" x14ac:dyDescent="0.25">
      <c r="A450" t="s">
        <v>636</v>
      </c>
      <c r="B450" t="s">
        <v>637</v>
      </c>
      <c r="C450">
        <v>12</v>
      </c>
      <c r="D450" t="s">
        <v>2575</v>
      </c>
      <c r="E450" t="s">
        <v>61</v>
      </c>
      <c r="F450" t="s">
        <v>1892</v>
      </c>
      <c r="G450" s="7">
        <v>45712</v>
      </c>
      <c r="H450" t="s">
        <v>142</v>
      </c>
      <c r="I450" t="s">
        <v>728</v>
      </c>
      <c r="J450" t="s">
        <v>8</v>
      </c>
      <c r="K450">
        <f>INDEX('LAB PRICES'!$C$2:$F$12, MATCH(tblLabs[[#This Row],[Code]], 'LAB PRICES'!$A$2:$A$12, 0), MATCH(tblLabs[[#This Row],[Facility]], 'LAB PRICES'!$C$1:$F$1, 0))</f>
        <v>16</v>
      </c>
      <c r="L450">
        <f>_xlfn.XLOOKUP(
    tblLabs[[#This Row],[Code]],
    'LAB PRICES'!$A$2:$A$12,
    'LAB PRICES'!$G$2:$G$12
)</f>
        <v>23</v>
      </c>
    </row>
    <row r="451" spans="1:12" x14ac:dyDescent="0.25">
      <c r="A451" t="s">
        <v>636</v>
      </c>
      <c r="B451" t="s">
        <v>637</v>
      </c>
      <c r="C451">
        <v>10</v>
      </c>
      <c r="D451" t="s">
        <v>2576</v>
      </c>
      <c r="E451" t="s">
        <v>61</v>
      </c>
      <c r="F451" t="s">
        <v>1892</v>
      </c>
      <c r="G451" s="7">
        <v>45734</v>
      </c>
      <c r="H451" t="s">
        <v>142</v>
      </c>
      <c r="I451" t="s">
        <v>652</v>
      </c>
      <c r="J451" t="s">
        <v>8</v>
      </c>
      <c r="K451">
        <f>INDEX('LAB PRICES'!$C$2:$F$12, MATCH(tblLabs[[#This Row],[Code]], 'LAB PRICES'!$A$2:$A$12, 0), MATCH(tblLabs[[#This Row],[Facility]], 'LAB PRICES'!$C$1:$F$1, 0))</f>
        <v>16</v>
      </c>
      <c r="L451">
        <f>_xlfn.XLOOKUP(
    tblLabs[[#This Row],[Code]],
    'LAB PRICES'!$A$2:$A$12,
    'LAB PRICES'!$G$2:$G$12
)</f>
        <v>23</v>
      </c>
    </row>
    <row r="452" spans="1:12" x14ac:dyDescent="0.25">
      <c r="A452" t="s">
        <v>636</v>
      </c>
      <c r="B452" t="s">
        <v>637</v>
      </c>
      <c r="C452">
        <v>2</v>
      </c>
      <c r="D452" t="s">
        <v>2576</v>
      </c>
      <c r="E452" t="s">
        <v>653</v>
      </c>
      <c r="F452" t="s">
        <v>1900</v>
      </c>
      <c r="G452" s="7">
        <v>45734</v>
      </c>
      <c r="H452" t="s">
        <v>142</v>
      </c>
      <c r="I452" t="s">
        <v>653</v>
      </c>
      <c r="J452" t="s">
        <v>8</v>
      </c>
      <c r="K452">
        <f>INDEX('LAB PRICES'!$C$2:$F$12, MATCH(tblLabs[[#This Row],[Code]], 'LAB PRICES'!$A$2:$A$12, 0), MATCH(tblLabs[[#This Row],[Facility]], 'LAB PRICES'!$C$1:$F$1, 0))</f>
        <v>4</v>
      </c>
      <c r="L452">
        <f>_xlfn.XLOOKUP(
    tblLabs[[#This Row],[Code]],
    'LAB PRICES'!$A$2:$A$12,
    'LAB PRICES'!$G$2:$G$12
)</f>
        <v>22</v>
      </c>
    </row>
    <row r="453" spans="1:12" x14ac:dyDescent="0.25">
      <c r="A453" t="s">
        <v>636</v>
      </c>
      <c r="B453" t="s">
        <v>637</v>
      </c>
      <c r="C453">
        <v>9</v>
      </c>
      <c r="D453" t="s">
        <v>2587</v>
      </c>
      <c r="E453" t="s">
        <v>466</v>
      </c>
      <c r="F453" t="s">
        <v>1893</v>
      </c>
      <c r="G453" s="7">
        <v>45734</v>
      </c>
      <c r="H453" t="s">
        <v>142</v>
      </c>
      <c r="I453" t="s">
        <v>652</v>
      </c>
      <c r="J453" t="s">
        <v>8</v>
      </c>
      <c r="K453">
        <f>INDEX('LAB PRICES'!$C$2:$F$12, MATCH(tblLabs[[#This Row],[Code]], 'LAB PRICES'!$A$2:$A$12, 0), MATCH(tblLabs[[#This Row],[Facility]], 'LAB PRICES'!$C$1:$F$1, 0))</f>
        <v>6</v>
      </c>
      <c r="L453">
        <f>_xlfn.XLOOKUP(
    tblLabs[[#This Row],[Code]],
    'LAB PRICES'!$A$2:$A$12,
    'LAB PRICES'!$G$2:$G$12
)</f>
        <v>40</v>
      </c>
    </row>
    <row r="454" spans="1:12" x14ac:dyDescent="0.25">
      <c r="A454" t="s">
        <v>636</v>
      </c>
      <c r="B454" t="s">
        <v>637</v>
      </c>
      <c r="C454">
        <v>9</v>
      </c>
      <c r="D454" t="s">
        <v>2598</v>
      </c>
      <c r="E454" t="s">
        <v>467</v>
      </c>
      <c r="F454" t="s">
        <v>1894</v>
      </c>
      <c r="G454" s="7">
        <v>45734</v>
      </c>
      <c r="H454" t="s">
        <v>142</v>
      </c>
      <c r="I454" t="s">
        <v>652</v>
      </c>
      <c r="J454" t="s">
        <v>8</v>
      </c>
      <c r="K454">
        <f>INDEX('LAB PRICES'!$C$2:$F$12, MATCH(tblLabs[[#This Row],[Code]], 'LAB PRICES'!$A$2:$A$12, 0), MATCH(tblLabs[[#This Row],[Facility]], 'LAB PRICES'!$C$1:$F$1, 0))</f>
        <v>26</v>
      </c>
      <c r="L454">
        <f>_xlfn.XLOOKUP(
    tblLabs[[#This Row],[Code]],
    'LAB PRICES'!$A$2:$A$12,
    'LAB PRICES'!$G$2:$G$12
)</f>
        <v>70</v>
      </c>
    </row>
    <row r="455" spans="1:12" x14ac:dyDescent="0.25">
      <c r="A455" t="s">
        <v>636</v>
      </c>
      <c r="B455" t="s">
        <v>637</v>
      </c>
      <c r="C455">
        <v>3</v>
      </c>
      <c r="D455" t="s">
        <v>658</v>
      </c>
      <c r="E455" t="s">
        <v>14</v>
      </c>
      <c r="F455" t="s">
        <v>1891</v>
      </c>
      <c r="G455" s="7">
        <v>45760</v>
      </c>
      <c r="H455" t="s">
        <v>136</v>
      </c>
      <c r="I455" t="s">
        <v>638</v>
      </c>
      <c r="J455" t="s">
        <v>26</v>
      </c>
      <c r="K455">
        <f>INDEX('LAB PRICES'!$C$2:$F$12, MATCH(tblLabs[[#This Row],[Code]], 'LAB PRICES'!$A$2:$A$12, 0), MATCH(tblLabs[[#This Row],[Facility]], 'LAB PRICES'!$C$1:$F$1, 0))</f>
        <v>30</v>
      </c>
      <c r="L455">
        <f>_xlfn.XLOOKUP(
    tblLabs[[#This Row],[Code]],
    'LAB PRICES'!$A$2:$A$12,
    'LAB PRICES'!$G$2:$G$12
)</f>
        <v>100</v>
      </c>
    </row>
    <row r="456" spans="1:12" x14ac:dyDescent="0.25">
      <c r="A456" t="s">
        <v>636</v>
      </c>
      <c r="B456" t="s">
        <v>637</v>
      </c>
      <c r="C456">
        <v>12</v>
      </c>
      <c r="D456" t="s">
        <v>657</v>
      </c>
      <c r="E456" t="s">
        <v>237</v>
      </c>
      <c r="F456" t="s">
        <v>1890</v>
      </c>
      <c r="G456" s="7">
        <v>45760</v>
      </c>
      <c r="H456" t="s">
        <v>136</v>
      </c>
      <c r="I456" t="s">
        <v>638</v>
      </c>
      <c r="J456" t="s">
        <v>26</v>
      </c>
      <c r="K456">
        <f>INDEX('LAB PRICES'!$C$2:$F$12, MATCH(tblLabs[[#This Row],[Code]], 'LAB PRICES'!$A$2:$A$12, 0), MATCH(tblLabs[[#This Row],[Facility]], 'LAB PRICES'!$C$1:$F$1, 0))</f>
        <v>5</v>
      </c>
      <c r="L456">
        <f>_xlfn.XLOOKUP(
    tblLabs[[#This Row],[Code]],
    'LAB PRICES'!$A$2:$A$12,
    'LAB PRICES'!$G$2:$G$12
)</f>
        <v>27</v>
      </c>
    </row>
    <row r="457" spans="1:12" x14ac:dyDescent="0.25">
      <c r="A457" t="s">
        <v>636</v>
      </c>
      <c r="B457" t="s">
        <v>637</v>
      </c>
      <c r="C457">
        <v>8</v>
      </c>
      <c r="D457" t="s">
        <v>655</v>
      </c>
      <c r="E457" t="s">
        <v>1878</v>
      </c>
      <c r="F457" t="s">
        <v>1889</v>
      </c>
      <c r="G457" s="7">
        <v>45759</v>
      </c>
      <c r="H457" t="s">
        <v>136</v>
      </c>
      <c r="I457" t="s">
        <v>638</v>
      </c>
      <c r="J457" t="s">
        <v>26</v>
      </c>
      <c r="K457">
        <f>INDEX('LAB PRICES'!$C$2:$F$12, MATCH(tblLabs[[#This Row],[Code]], 'LAB PRICES'!$A$2:$A$12, 0), MATCH(tblLabs[[#This Row],[Facility]], 'LAB PRICES'!$C$1:$F$1, 0))</f>
        <v>5</v>
      </c>
      <c r="L457">
        <f>_xlfn.XLOOKUP(
    tblLabs[[#This Row],[Code]],
    'LAB PRICES'!$A$2:$A$12,
    'LAB PRICES'!$G$2:$G$12
)</f>
        <v>23</v>
      </c>
    </row>
    <row r="458" spans="1:12" x14ac:dyDescent="0.25">
      <c r="A458" t="s">
        <v>636</v>
      </c>
      <c r="B458" t="s">
        <v>637</v>
      </c>
      <c r="C458">
        <v>12</v>
      </c>
      <c r="D458" t="s">
        <v>656</v>
      </c>
      <c r="E458" t="s">
        <v>1878</v>
      </c>
      <c r="F458" t="s">
        <v>1889</v>
      </c>
      <c r="G458" s="7">
        <v>45759</v>
      </c>
      <c r="H458" t="s">
        <v>136</v>
      </c>
      <c r="I458" t="s">
        <v>638</v>
      </c>
      <c r="J458" t="s">
        <v>26</v>
      </c>
      <c r="K458">
        <f>INDEX('LAB PRICES'!$C$2:$F$12, MATCH(tblLabs[[#This Row],[Code]], 'LAB PRICES'!$A$2:$A$12, 0), MATCH(tblLabs[[#This Row],[Facility]], 'LAB PRICES'!$C$1:$F$1, 0))</f>
        <v>5</v>
      </c>
      <c r="L458">
        <f>_xlfn.XLOOKUP(
    tblLabs[[#This Row],[Code]],
    'LAB PRICES'!$A$2:$A$12,
    'LAB PRICES'!$G$2:$G$12
)</f>
        <v>23</v>
      </c>
    </row>
    <row r="459" spans="1:12" x14ac:dyDescent="0.25">
      <c r="A459" t="s">
        <v>636</v>
      </c>
      <c r="B459" t="s">
        <v>637</v>
      </c>
      <c r="C459">
        <v>12</v>
      </c>
      <c r="D459" t="s">
        <v>654</v>
      </c>
      <c r="E459" t="s">
        <v>1878</v>
      </c>
      <c r="F459" t="s">
        <v>1889</v>
      </c>
      <c r="G459" s="7">
        <v>45759</v>
      </c>
      <c r="H459" t="s">
        <v>136</v>
      </c>
      <c r="I459" t="s">
        <v>652</v>
      </c>
      <c r="J459" t="s">
        <v>26</v>
      </c>
      <c r="K459">
        <f>INDEX('LAB PRICES'!$C$2:$F$12, MATCH(tblLabs[[#This Row],[Code]], 'LAB PRICES'!$A$2:$A$12, 0), MATCH(tblLabs[[#This Row],[Facility]], 'LAB PRICES'!$C$1:$F$1, 0))</f>
        <v>5</v>
      </c>
      <c r="L459">
        <f>_xlfn.XLOOKUP(
    tblLabs[[#This Row],[Code]],
    'LAB PRICES'!$A$2:$A$12,
    'LAB PRICES'!$G$2:$G$12
)</f>
        <v>23</v>
      </c>
    </row>
    <row r="460" spans="1:12" x14ac:dyDescent="0.25">
      <c r="A460" t="s">
        <v>636</v>
      </c>
      <c r="B460" t="s">
        <v>637</v>
      </c>
      <c r="C460">
        <v>8</v>
      </c>
      <c r="D460" t="s">
        <v>659</v>
      </c>
      <c r="E460" t="s">
        <v>237</v>
      </c>
      <c r="F460" t="s">
        <v>1890</v>
      </c>
      <c r="G460" s="7">
        <v>45801</v>
      </c>
      <c r="H460" t="s">
        <v>118</v>
      </c>
      <c r="I460" t="s">
        <v>652</v>
      </c>
      <c r="J460" t="s">
        <v>26</v>
      </c>
      <c r="K460">
        <f>INDEX('LAB PRICES'!$C$2:$F$12, MATCH(tblLabs[[#This Row],[Code]], 'LAB PRICES'!$A$2:$A$12, 0), MATCH(tblLabs[[#This Row],[Facility]], 'LAB PRICES'!$C$1:$F$1, 0))</f>
        <v>5</v>
      </c>
      <c r="L460">
        <f>_xlfn.XLOOKUP(
    tblLabs[[#This Row],[Code]],
    'LAB PRICES'!$A$2:$A$12,
    'LAB PRICES'!$G$2:$G$12
)</f>
        <v>27</v>
      </c>
    </row>
    <row r="461" spans="1:12" x14ac:dyDescent="0.25">
      <c r="A461" t="s">
        <v>636</v>
      </c>
      <c r="B461" t="s">
        <v>637</v>
      </c>
      <c r="C461">
        <v>4</v>
      </c>
      <c r="D461" t="s">
        <v>661</v>
      </c>
      <c r="E461" t="s">
        <v>1878</v>
      </c>
      <c r="F461" t="s">
        <v>1889</v>
      </c>
      <c r="G461" s="7">
        <v>45800</v>
      </c>
      <c r="H461" t="s">
        <v>118</v>
      </c>
      <c r="I461" t="s">
        <v>652</v>
      </c>
      <c r="J461" t="s">
        <v>26</v>
      </c>
      <c r="K461">
        <f>INDEX('LAB PRICES'!$C$2:$F$12, MATCH(tblLabs[[#This Row],[Code]], 'LAB PRICES'!$A$2:$A$12, 0), MATCH(tblLabs[[#This Row],[Facility]], 'LAB PRICES'!$C$1:$F$1, 0))</f>
        <v>5</v>
      </c>
      <c r="L461">
        <f>_xlfn.XLOOKUP(
    tblLabs[[#This Row],[Code]],
    'LAB PRICES'!$A$2:$A$12,
    'LAB PRICES'!$G$2:$G$12
)</f>
        <v>23</v>
      </c>
    </row>
    <row r="462" spans="1:12" x14ac:dyDescent="0.25">
      <c r="A462" t="s">
        <v>636</v>
      </c>
      <c r="B462" t="s">
        <v>637</v>
      </c>
      <c r="C462">
        <v>16</v>
      </c>
      <c r="D462" t="s">
        <v>660</v>
      </c>
      <c r="E462" t="s">
        <v>1806</v>
      </c>
      <c r="F462" t="s">
        <v>1890</v>
      </c>
      <c r="G462" s="7">
        <v>45808</v>
      </c>
      <c r="H462" t="s">
        <v>136</v>
      </c>
      <c r="I462" t="s">
        <v>638</v>
      </c>
      <c r="J462" t="s">
        <v>26</v>
      </c>
      <c r="K462">
        <f>INDEX('LAB PRICES'!$C$2:$F$12, MATCH(tblLabs[[#This Row],[Code]], 'LAB PRICES'!$A$2:$A$12, 0), MATCH(tblLabs[[#This Row],[Facility]], 'LAB PRICES'!$C$1:$F$1, 0))</f>
        <v>5</v>
      </c>
      <c r="L462">
        <f>_xlfn.XLOOKUP(
    tblLabs[[#This Row],[Code]],
    'LAB PRICES'!$A$2:$A$12,
    'LAB PRICES'!$G$2:$G$12
)</f>
        <v>27</v>
      </c>
    </row>
    <row r="463" spans="1:12" x14ac:dyDescent="0.25">
      <c r="A463" t="s">
        <v>225</v>
      </c>
      <c r="B463" t="s">
        <v>226</v>
      </c>
      <c r="C463">
        <v>12</v>
      </c>
      <c r="D463" t="s">
        <v>222</v>
      </c>
      <c r="E463" t="s">
        <v>1878</v>
      </c>
      <c r="F463" t="s">
        <v>1889</v>
      </c>
      <c r="G463" s="7">
        <v>45506</v>
      </c>
      <c r="H463" t="s">
        <v>118</v>
      </c>
      <c r="I463" t="s">
        <v>221</v>
      </c>
      <c r="J463" t="s">
        <v>26</v>
      </c>
      <c r="K463">
        <f>INDEX('LAB PRICES'!$C$2:$F$12, MATCH(tblLabs[[#This Row],[Code]], 'LAB PRICES'!$A$2:$A$12, 0), MATCH(tblLabs[[#This Row],[Facility]], 'LAB PRICES'!$C$1:$F$1, 0))</f>
        <v>5</v>
      </c>
      <c r="L463">
        <f>_xlfn.XLOOKUP(
    tblLabs[[#This Row],[Code]],
    'LAB PRICES'!$A$2:$A$12,
    'LAB PRICES'!$G$2:$G$12
)</f>
        <v>23</v>
      </c>
    </row>
    <row r="464" spans="1:12" x14ac:dyDescent="0.25">
      <c r="A464" t="s">
        <v>225</v>
      </c>
      <c r="B464" t="s">
        <v>226</v>
      </c>
      <c r="C464">
        <v>10</v>
      </c>
      <c r="D464" t="s">
        <v>223</v>
      </c>
      <c r="E464" t="s">
        <v>1878</v>
      </c>
      <c r="F464" t="s">
        <v>1889</v>
      </c>
      <c r="G464" s="7">
        <v>45506</v>
      </c>
      <c r="H464" t="s">
        <v>118</v>
      </c>
      <c r="I464" t="s">
        <v>221</v>
      </c>
      <c r="J464" t="s">
        <v>26</v>
      </c>
      <c r="K464">
        <f>INDEX('LAB PRICES'!$C$2:$F$12, MATCH(tblLabs[[#This Row],[Code]], 'LAB PRICES'!$A$2:$A$12, 0), MATCH(tblLabs[[#This Row],[Facility]], 'LAB PRICES'!$C$1:$F$1, 0))</f>
        <v>5</v>
      </c>
      <c r="L464">
        <f>_xlfn.XLOOKUP(
    tblLabs[[#This Row],[Code]],
    'LAB PRICES'!$A$2:$A$12,
    'LAB PRICES'!$G$2:$G$12
)</f>
        <v>23</v>
      </c>
    </row>
    <row r="465" spans="1:12" x14ac:dyDescent="0.25">
      <c r="A465" t="s">
        <v>225</v>
      </c>
      <c r="B465" t="s">
        <v>226</v>
      </c>
      <c r="C465">
        <v>6</v>
      </c>
      <c r="D465" t="s">
        <v>224</v>
      </c>
      <c r="E465" t="s">
        <v>14</v>
      </c>
      <c r="F465" t="s">
        <v>1891</v>
      </c>
      <c r="G465" s="7">
        <v>45507</v>
      </c>
      <c r="H465" t="s">
        <v>118</v>
      </c>
      <c r="I465" t="s">
        <v>221</v>
      </c>
      <c r="J465" t="s">
        <v>26</v>
      </c>
      <c r="K465">
        <f>INDEX('LAB PRICES'!$C$2:$F$12, MATCH(tblLabs[[#This Row],[Code]], 'LAB PRICES'!$A$2:$A$12, 0), MATCH(tblLabs[[#This Row],[Facility]], 'LAB PRICES'!$C$1:$F$1, 0))</f>
        <v>30</v>
      </c>
      <c r="L465">
        <f>_xlfn.XLOOKUP(
    tblLabs[[#This Row],[Code]],
    'LAB PRICES'!$A$2:$A$12,
    'LAB PRICES'!$G$2:$G$12
)</f>
        <v>100</v>
      </c>
    </row>
    <row r="466" spans="1:12" x14ac:dyDescent="0.25">
      <c r="A466" t="s">
        <v>225</v>
      </c>
      <c r="B466" t="s">
        <v>226</v>
      </c>
      <c r="C466">
        <v>12</v>
      </c>
      <c r="D466" t="s">
        <v>220</v>
      </c>
      <c r="E466" t="s">
        <v>1878</v>
      </c>
      <c r="F466" t="s">
        <v>1889</v>
      </c>
      <c r="G466" s="7">
        <v>45505</v>
      </c>
      <c r="H466" t="s">
        <v>136</v>
      </c>
      <c r="I466" t="s">
        <v>221</v>
      </c>
      <c r="J466" t="s">
        <v>8</v>
      </c>
      <c r="K466">
        <f>INDEX('LAB PRICES'!$C$2:$F$12, MATCH(tblLabs[[#This Row],[Code]], 'LAB PRICES'!$A$2:$A$12, 0), MATCH(tblLabs[[#This Row],[Facility]], 'LAB PRICES'!$C$1:$F$1, 0))</f>
        <v>6</v>
      </c>
      <c r="L466">
        <f>_xlfn.XLOOKUP(
    tblLabs[[#This Row],[Code]],
    'LAB PRICES'!$A$2:$A$12,
    'LAB PRICES'!$G$2:$G$12
)</f>
        <v>23</v>
      </c>
    </row>
    <row r="467" spans="1:12" x14ac:dyDescent="0.25">
      <c r="A467" t="s">
        <v>225</v>
      </c>
      <c r="B467" t="s">
        <v>226</v>
      </c>
      <c r="C467">
        <v>12</v>
      </c>
      <c r="D467" t="s">
        <v>138</v>
      </c>
      <c r="E467" t="s">
        <v>237</v>
      </c>
      <c r="F467" t="s">
        <v>1890</v>
      </c>
      <c r="G467" s="7">
        <v>45506</v>
      </c>
      <c r="H467" t="s">
        <v>118</v>
      </c>
      <c r="I467" t="s">
        <v>221</v>
      </c>
      <c r="J467" t="s">
        <v>8</v>
      </c>
      <c r="K467">
        <f>INDEX('LAB PRICES'!$C$2:$F$12, MATCH(tblLabs[[#This Row],[Code]], 'LAB PRICES'!$A$2:$A$12, 0), MATCH(tblLabs[[#This Row],[Facility]], 'LAB PRICES'!$C$1:$F$1, 0))</f>
        <v>6</v>
      </c>
      <c r="L467">
        <f>_xlfn.XLOOKUP(
    tblLabs[[#This Row],[Code]],
    'LAB PRICES'!$A$2:$A$12,
    'LAB PRICES'!$G$2:$G$12
)</f>
        <v>27</v>
      </c>
    </row>
    <row r="468" spans="1:12" x14ac:dyDescent="0.25">
      <c r="A468" t="s">
        <v>2118</v>
      </c>
      <c r="B468" t="s">
        <v>2114</v>
      </c>
      <c r="C468" s="15">
        <v>3</v>
      </c>
      <c r="D468" s="14" t="s">
        <v>2490</v>
      </c>
      <c r="E468" t="s">
        <v>14</v>
      </c>
      <c r="F468" t="s">
        <v>1891</v>
      </c>
      <c r="G468" s="7">
        <v>45452</v>
      </c>
      <c r="H468" t="s">
        <v>142</v>
      </c>
      <c r="I468" t="s">
        <v>2485</v>
      </c>
      <c r="J468" t="s">
        <v>8</v>
      </c>
      <c r="K468">
        <f>INDEX('LAB PRICES'!$C$2:$F$12, MATCH(tblLabs[[#This Row],[Code]], 'LAB PRICES'!$A$2:$A$12, 0), MATCH(tblLabs[[#This Row],[Facility]], 'LAB PRICES'!$C$1:$F$1, 0))</f>
        <v>40</v>
      </c>
      <c r="L468">
        <f>_xlfn.XLOOKUP(
    tblLabs[[#This Row],[Code]],
    'LAB PRICES'!$A$2:$A$12,
    'LAB PRICES'!$G$2:$G$12
)</f>
        <v>100</v>
      </c>
    </row>
    <row r="469" spans="1:12" x14ac:dyDescent="0.25">
      <c r="A469" t="s">
        <v>2118</v>
      </c>
      <c r="B469" t="s">
        <v>2114</v>
      </c>
      <c r="C469" s="15">
        <v>12</v>
      </c>
      <c r="D469" s="14" t="s">
        <v>2486</v>
      </c>
      <c r="E469" t="s">
        <v>1878</v>
      </c>
      <c r="F469" t="s">
        <v>1889</v>
      </c>
      <c r="G469" s="7">
        <v>45450</v>
      </c>
      <c r="H469" t="s">
        <v>142</v>
      </c>
      <c r="I469" t="s">
        <v>2485</v>
      </c>
      <c r="J469" t="s">
        <v>8</v>
      </c>
      <c r="K469">
        <f>INDEX('LAB PRICES'!$C$2:$F$12, MATCH(tblLabs[[#This Row],[Code]], 'LAB PRICES'!$A$2:$A$12, 0), MATCH(tblLabs[[#This Row],[Facility]], 'LAB PRICES'!$C$1:$F$1, 0))</f>
        <v>6</v>
      </c>
      <c r="L469">
        <f>_xlfn.XLOOKUP(
    tblLabs[[#This Row],[Code]],
    'LAB PRICES'!$A$2:$A$12,
    'LAB PRICES'!$G$2:$G$12
)</f>
        <v>23</v>
      </c>
    </row>
    <row r="470" spans="1:12" x14ac:dyDescent="0.25">
      <c r="A470" t="s">
        <v>2118</v>
      </c>
      <c r="B470" t="s">
        <v>2114</v>
      </c>
      <c r="C470" s="15">
        <v>12</v>
      </c>
      <c r="D470" s="14" t="s">
        <v>2489</v>
      </c>
      <c r="E470" t="s">
        <v>237</v>
      </c>
      <c r="F470" t="s">
        <v>1890</v>
      </c>
      <c r="G470" s="7">
        <v>45452</v>
      </c>
      <c r="H470" t="s">
        <v>142</v>
      </c>
      <c r="I470" t="s">
        <v>2485</v>
      </c>
      <c r="J470" t="s">
        <v>8</v>
      </c>
      <c r="K470">
        <f>INDEX('LAB PRICES'!$C$2:$F$12, MATCH(tblLabs[[#This Row],[Code]], 'LAB PRICES'!$A$2:$A$12, 0), MATCH(tblLabs[[#This Row],[Facility]], 'LAB PRICES'!$C$1:$F$1, 0))</f>
        <v>6</v>
      </c>
      <c r="L470">
        <f>_xlfn.XLOOKUP(
    tblLabs[[#This Row],[Code]],
    'LAB PRICES'!$A$2:$A$12,
    'LAB PRICES'!$G$2:$G$12
)</f>
        <v>27</v>
      </c>
    </row>
    <row r="471" spans="1:12" x14ac:dyDescent="0.25">
      <c r="A471" t="s">
        <v>2118</v>
      </c>
      <c r="B471" t="s">
        <v>2114</v>
      </c>
      <c r="C471" s="15">
        <v>12</v>
      </c>
      <c r="D471" s="14" t="s">
        <v>2487</v>
      </c>
      <c r="E471" t="s">
        <v>1878</v>
      </c>
      <c r="F471" t="s">
        <v>1889</v>
      </c>
      <c r="G471" s="7">
        <v>45451</v>
      </c>
      <c r="H471" t="s">
        <v>142</v>
      </c>
      <c r="I471" t="s">
        <v>2485</v>
      </c>
      <c r="J471" t="s">
        <v>8</v>
      </c>
      <c r="K471">
        <f>INDEX('LAB PRICES'!$C$2:$F$12, MATCH(tblLabs[[#This Row],[Code]], 'LAB PRICES'!$A$2:$A$12, 0), MATCH(tblLabs[[#This Row],[Facility]], 'LAB PRICES'!$C$1:$F$1, 0))</f>
        <v>6</v>
      </c>
      <c r="L471">
        <f>_xlfn.XLOOKUP(
    tblLabs[[#This Row],[Code]],
    'LAB PRICES'!$A$2:$A$12,
    'LAB PRICES'!$G$2:$G$12
)</f>
        <v>23</v>
      </c>
    </row>
    <row r="472" spans="1:12" x14ac:dyDescent="0.25">
      <c r="A472" t="s">
        <v>2118</v>
      </c>
      <c r="B472" t="s">
        <v>2114</v>
      </c>
      <c r="C472" s="15">
        <v>23</v>
      </c>
      <c r="D472" s="14" t="s">
        <v>2488</v>
      </c>
      <c r="E472" t="s">
        <v>1878</v>
      </c>
      <c r="F472" t="s">
        <v>1889</v>
      </c>
      <c r="G472" s="7">
        <v>45451</v>
      </c>
      <c r="H472" t="s">
        <v>142</v>
      </c>
      <c r="I472" t="s">
        <v>2485</v>
      </c>
      <c r="J472" t="s">
        <v>8</v>
      </c>
      <c r="K472">
        <f>INDEX('LAB PRICES'!$C$2:$F$12, MATCH(tblLabs[[#This Row],[Code]], 'LAB PRICES'!$A$2:$A$12, 0), MATCH(tblLabs[[#This Row],[Facility]], 'LAB PRICES'!$C$1:$F$1, 0))</f>
        <v>6</v>
      </c>
      <c r="L472">
        <f>_xlfn.XLOOKUP(
    tblLabs[[#This Row],[Code]],
    'LAB PRICES'!$A$2:$A$12,
    'LAB PRICES'!$G$2:$G$12
)</f>
        <v>23</v>
      </c>
    </row>
    <row r="473" spans="1:12" x14ac:dyDescent="0.25">
      <c r="A473" t="s">
        <v>1745</v>
      </c>
      <c r="B473" t="s">
        <v>1991</v>
      </c>
      <c r="C473">
        <v>12</v>
      </c>
      <c r="D473" t="s">
        <v>1979</v>
      </c>
      <c r="E473" t="s">
        <v>237</v>
      </c>
      <c r="F473" t="s">
        <v>1890</v>
      </c>
      <c r="G473" s="7">
        <v>45516</v>
      </c>
      <c r="H473" t="s">
        <v>136</v>
      </c>
      <c r="I473" t="s">
        <v>1990</v>
      </c>
      <c r="J473" t="s">
        <v>700</v>
      </c>
      <c r="K473">
        <f>INDEX('LAB PRICES'!$C$2:$F$12, MATCH(tblLabs[[#This Row],[Code]], 'LAB PRICES'!$A$2:$A$12, 0), MATCH(tblLabs[[#This Row],[Facility]], 'LAB PRICES'!$C$1:$F$1, 0))</f>
        <v>6</v>
      </c>
      <c r="L473">
        <f>_xlfn.XLOOKUP(
    tblLabs[[#This Row],[Code]],
    'LAB PRICES'!$A$2:$A$12,
    'LAB PRICES'!$G$2:$G$12
)</f>
        <v>27</v>
      </c>
    </row>
    <row r="474" spans="1:12" x14ac:dyDescent="0.25">
      <c r="A474" t="s">
        <v>1745</v>
      </c>
      <c r="B474" t="s">
        <v>1991</v>
      </c>
      <c r="C474">
        <v>18</v>
      </c>
      <c r="D474" t="s">
        <v>1974</v>
      </c>
      <c r="E474" t="s">
        <v>1878</v>
      </c>
      <c r="F474" t="s">
        <v>1889</v>
      </c>
      <c r="G474" s="7">
        <v>45515</v>
      </c>
      <c r="H474" t="s">
        <v>136</v>
      </c>
      <c r="I474" t="s">
        <v>1990</v>
      </c>
      <c r="J474" t="s">
        <v>700</v>
      </c>
      <c r="K474">
        <f>INDEX('LAB PRICES'!$C$2:$F$12, MATCH(tblLabs[[#This Row],[Code]], 'LAB PRICES'!$A$2:$A$12, 0), MATCH(tblLabs[[#This Row],[Facility]], 'LAB PRICES'!$C$1:$F$1, 0))</f>
        <v>6</v>
      </c>
      <c r="L474">
        <f>_xlfn.XLOOKUP(
    tblLabs[[#This Row],[Code]],
    'LAB PRICES'!$A$2:$A$12,
    'LAB PRICES'!$G$2:$G$12
)</f>
        <v>23</v>
      </c>
    </row>
    <row r="475" spans="1:12" x14ac:dyDescent="0.25">
      <c r="A475" t="s">
        <v>1745</v>
      </c>
      <c r="B475" t="s">
        <v>1991</v>
      </c>
      <c r="C475">
        <v>12</v>
      </c>
      <c r="D475" t="s">
        <v>1973</v>
      </c>
      <c r="E475" t="s">
        <v>1878</v>
      </c>
      <c r="F475" t="s">
        <v>1889</v>
      </c>
      <c r="G475" s="7">
        <v>45515</v>
      </c>
      <c r="H475" t="s">
        <v>136</v>
      </c>
      <c r="I475" t="s">
        <v>1990</v>
      </c>
      <c r="J475" t="s">
        <v>700</v>
      </c>
      <c r="K475">
        <f>INDEX('LAB PRICES'!$C$2:$F$12, MATCH(tblLabs[[#This Row],[Code]], 'LAB PRICES'!$A$2:$A$12, 0), MATCH(tblLabs[[#This Row],[Facility]], 'LAB PRICES'!$C$1:$F$1, 0))</f>
        <v>6</v>
      </c>
      <c r="L475">
        <f>_xlfn.XLOOKUP(
    tblLabs[[#This Row],[Code]],
    'LAB PRICES'!$A$2:$A$12,
    'LAB PRICES'!$G$2:$G$12
)</f>
        <v>23</v>
      </c>
    </row>
    <row r="476" spans="1:12" x14ac:dyDescent="0.25">
      <c r="A476" t="s">
        <v>1745</v>
      </c>
      <c r="B476" t="s">
        <v>1991</v>
      </c>
      <c r="C476">
        <v>26</v>
      </c>
      <c r="D476" t="s">
        <v>1985</v>
      </c>
      <c r="E476" t="s">
        <v>237</v>
      </c>
      <c r="F476" t="s">
        <v>1890</v>
      </c>
      <c r="G476" s="7">
        <v>45517</v>
      </c>
      <c r="H476" t="s">
        <v>7</v>
      </c>
      <c r="I476" t="s">
        <v>1990</v>
      </c>
      <c r="J476" t="s">
        <v>700</v>
      </c>
      <c r="K476">
        <f>INDEX('LAB PRICES'!$C$2:$F$12, MATCH(tblLabs[[#This Row],[Code]], 'LAB PRICES'!$A$2:$A$12, 0), MATCH(tblLabs[[#This Row],[Facility]], 'LAB PRICES'!$C$1:$F$1, 0))</f>
        <v>6</v>
      </c>
      <c r="L476">
        <f>_xlfn.XLOOKUP(
    tblLabs[[#This Row],[Code]],
    'LAB PRICES'!$A$2:$A$12,
    'LAB PRICES'!$G$2:$G$12
)</f>
        <v>27</v>
      </c>
    </row>
    <row r="477" spans="1:12" x14ac:dyDescent="0.25">
      <c r="A477" t="s">
        <v>1745</v>
      </c>
      <c r="B477" t="s">
        <v>1991</v>
      </c>
      <c r="C477">
        <v>11</v>
      </c>
      <c r="D477" t="s">
        <v>1975</v>
      </c>
      <c r="E477" t="s">
        <v>1878</v>
      </c>
      <c r="F477" t="s">
        <v>1889</v>
      </c>
      <c r="G477" s="7">
        <v>45516</v>
      </c>
      <c r="H477" t="s">
        <v>7</v>
      </c>
      <c r="I477" t="s">
        <v>1990</v>
      </c>
      <c r="J477" t="s">
        <v>700</v>
      </c>
      <c r="K477">
        <f>INDEX('LAB PRICES'!$C$2:$F$12, MATCH(tblLabs[[#This Row],[Code]], 'LAB PRICES'!$A$2:$A$12, 0), MATCH(tblLabs[[#This Row],[Facility]], 'LAB PRICES'!$C$1:$F$1, 0))</f>
        <v>6</v>
      </c>
      <c r="L477">
        <f>_xlfn.XLOOKUP(
    tblLabs[[#This Row],[Code]],
    'LAB PRICES'!$A$2:$A$12,
    'LAB PRICES'!$G$2:$G$12
)</f>
        <v>23</v>
      </c>
    </row>
    <row r="478" spans="1:12" x14ac:dyDescent="0.25">
      <c r="A478" t="s">
        <v>1745</v>
      </c>
      <c r="B478" t="s">
        <v>1991</v>
      </c>
      <c r="C478">
        <v>11</v>
      </c>
      <c r="D478" t="s">
        <v>1976</v>
      </c>
      <c r="E478" t="s">
        <v>1878</v>
      </c>
      <c r="F478" t="s">
        <v>1889</v>
      </c>
      <c r="G478" s="7">
        <v>45516</v>
      </c>
      <c r="H478" t="s">
        <v>136</v>
      </c>
      <c r="I478" t="s">
        <v>1990</v>
      </c>
      <c r="J478" t="s">
        <v>700</v>
      </c>
      <c r="K478">
        <f>INDEX('LAB PRICES'!$C$2:$F$12, MATCH(tblLabs[[#This Row],[Code]], 'LAB PRICES'!$A$2:$A$12, 0), MATCH(tblLabs[[#This Row],[Facility]], 'LAB PRICES'!$C$1:$F$1, 0))</f>
        <v>6</v>
      </c>
      <c r="L478">
        <f>_xlfn.XLOOKUP(
    tblLabs[[#This Row],[Code]],
    'LAB PRICES'!$A$2:$A$12,
    'LAB PRICES'!$G$2:$G$12
)</f>
        <v>23</v>
      </c>
    </row>
    <row r="479" spans="1:12" x14ac:dyDescent="0.25">
      <c r="A479" t="s">
        <v>1745</v>
      </c>
      <c r="B479" t="s">
        <v>1991</v>
      </c>
      <c r="C479">
        <v>10</v>
      </c>
      <c r="D479" t="s">
        <v>1977</v>
      </c>
      <c r="E479" t="s">
        <v>1878</v>
      </c>
      <c r="F479" t="s">
        <v>1889</v>
      </c>
      <c r="G479" s="7">
        <v>45516</v>
      </c>
      <c r="H479" t="s">
        <v>7</v>
      </c>
      <c r="I479" t="s">
        <v>1990</v>
      </c>
      <c r="J479" t="s">
        <v>700</v>
      </c>
      <c r="K479">
        <f>INDEX('LAB PRICES'!$C$2:$F$12, MATCH(tblLabs[[#This Row],[Code]], 'LAB PRICES'!$A$2:$A$12, 0), MATCH(tblLabs[[#This Row],[Facility]], 'LAB PRICES'!$C$1:$F$1, 0))</f>
        <v>6</v>
      </c>
      <c r="L479">
        <f>_xlfn.XLOOKUP(
    tblLabs[[#This Row],[Code]],
    'LAB PRICES'!$A$2:$A$12,
    'LAB PRICES'!$G$2:$G$12
)</f>
        <v>23</v>
      </c>
    </row>
    <row r="480" spans="1:12" x14ac:dyDescent="0.25">
      <c r="A480" t="s">
        <v>1745</v>
      </c>
      <c r="B480" t="s">
        <v>1991</v>
      </c>
      <c r="C480">
        <v>18</v>
      </c>
      <c r="D480" t="s">
        <v>1978</v>
      </c>
      <c r="E480" t="s">
        <v>1878</v>
      </c>
      <c r="F480" t="s">
        <v>1889</v>
      </c>
      <c r="G480" s="7">
        <v>45516</v>
      </c>
      <c r="H480" t="s">
        <v>136</v>
      </c>
      <c r="I480" t="s">
        <v>1990</v>
      </c>
      <c r="J480" t="s">
        <v>700</v>
      </c>
      <c r="K480">
        <f>INDEX('LAB PRICES'!$C$2:$F$12, MATCH(tblLabs[[#This Row],[Code]], 'LAB PRICES'!$A$2:$A$12, 0), MATCH(tblLabs[[#This Row],[Facility]], 'LAB PRICES'!$C$1:$F$1, 0))</f>
        <v>6</v>
      </c>
      <c r="L480">
        <f>_xlfn.XLOOKUP(
    tblLabs[[#This Row],[Code]],
    'LAB PRICES'!$A$2:$A$12,
    'LAB PRICES'!$G$2:$G$12
)</f>
        <v>23</v>
      </c>
    </row>
    <row r="481" spans="1:12" x14ac:dyDescent="0.25">
      <c r="A481" t="s">
        <v>1745</v>
      </c>
      <c r="B481" t="s">
        <v>1991</v>
      </c>
      <c r="C481">
        <v>22</v>
      </c>
      <c r="D481" t="s">
        <v>1987</v>
      </c>
      <c r="E481" t="s">
        <v>237</v>
      </c>
      <c r="F481" t="s">
        <v>1890</v>
      </c>
      <c r="G481" s="7">
        <v>45518</v>
      </c>
      <c r="H481" t="s">
        <v>7</v>
      </c>
      <c r="I481" t="s">
        <v>1990</v>
      </c>
      <c r="J481" t="s">
        <v>700</v>
      </c>
      <c r="K481">
        <f>INDEX('LAB PRICES'!$C$2:$F$12, MATCH(tblLabs[[#This Row],[Code]], 'LAB PRICES'!$A$2:$A$12, 0), MATCH(tblLabs[[#This Row],[Facility]], 'LAB PRICES'!$C$1:$F$1, 0))</f>
        <v>6</v>
      </c>
      <c r="L481">
        <f>_xlfn.XLOOKUP(
    tblLabs[[#This Row],[Code]],
    'LAB PRICES'!$A$2:$A$12,
    'LAB PRICES'!$G$2:$G$12
)</f>
        <v>27</v>
      </c>
    </row>
    <row r="482" spans="1:12" x14ac:dyDescent="0.25">
      <c r="A482" t="s">
        <v>1745</v>
      </c>
      <c r="B482" t="s">
        <v>1991</v>
      </c>
      <c r="C482">
        <v>11</v>
      </c>
      <c r="D482" t="s">
        <v>1981</v>
      </c>
      <c r="E482" t="s">
        <v>1878</v>
      </c>
      <c r="F482" t="s">
        <v>1889</v>
      </c>
      <c r="G482" s="7">
        <v>45517</v>
      </c>
      <c r="H482" t="s">
        <v>7</v>
      </c>
      <c r="I482" t="s">
        <v>1990</v>
      </c>
      <c r="J482" t="s">
        <v>700</v>
      </c>
      <c r="K482">
        <f>INDEX('LAB PRICES'!$C$2:$F$12, MATCH(tblLabs[[#This Row],[Code]], 'LAB PRICES'!$A$2:$A$12, 0), MATCH(tblLabs[[#This Row],[Facility]], 'LAB PRICES'!$C$1:$F$1, 0))</f>
        <v>6</v>
      </c>
      <c r="L482">
        <f>_xlfn.XLOOKUP(
    tblLabs[[#This Row],[Code]],
    'LAB PRICES'!$A$2:$A$12,
    'LAB PRICES'!$G$2:$G$12
)</f>
        <v>23</v>
      </c>
    </row>
    <row r="483" spans="1:12" x14ac:dyDescent="0.25">
      <c r="A483" t="s">
        <v>1745</v>
      </c>
      <c r="B483" t="s">
        <v>1991</v>
      </c>
      <c r="C483">
        <v>6</v>
      </c>
      <c r="D483" t="s">
        <v>1984</v>
      </c>
      <c r="E483" t="s">
        <v>1878</v>
      </c>
      <c r="F483" t="s">
        <v>1889</v>
      </c>
      <c r="G483" s="7">
        <v>45517</v>
      </c>
      <c r="H483" t="s">
        <v>7</v>
      </c>
      <c r="I483" t="s">
        <v>1990</v>
      </c>
      <c r="J483" t="s">
        <v>700</v>
      </c>
      <c r="K483">
        <f>INDEX('LAB PRICES'!$C$2:$F$12, MATCH(tblLabs[[#This Row],[Code]], 'LAB PRICES'!$A$2:$A$12, 0), MATCH(tblLabs[[#This Row],[Facility]], 'LAB PRICES'!$C$1:$F$1, 0))</f>
        <v>6</v>
      </c>
      <c r="L483">
        <f>_xlfn.XLOOKUP(
    tblLabs[[#This Row],[Code]],
    'LAB PRICES'!$A$2:$A$12,
    'LAB PRICES'!$G$2:$G$12
)</f>
        <v>23</v>
      </c>
    </row>
    <row r="484" spans="1:12" x14ac:dyDescent="0.25">
      <c r="A484" t="s">
        <v>1745</v>
      </c>
      <c r="B484" t="s">
        <v>1991</v>
      </c>
      <c r="C484">
        <v>8</v>
      </c>
      <c r="D484" t="s">
        <v>1983</v>
      </c>
      <c r="E484" t="s">
        <v>1878</v>
      </c>
      <c r="F484" t="s">
        <v>1889</v>
      </c>
      <c r="G484" s="7">
        <v>45517</v>
      </c>
      <c r="H484" t="s">
        <v>136</v>
      </c>
      <c r="I484" t="s">
        <v>1990</v>
      </c>
      <c r="J484" t="s">
        <v>700</v>
      </c>
      <c r="K484">
        <f>INDEX('LAB PRICES'!$C$2:$F$12, MATCH(tblLabs[[#This Row],[Code]], 'LAB PRICES'!$A$2:$A$12, 0), MATCH(tblLabs[[#This Row],[Facility]], 'LAB PRICES'!$C$1:$F$1, 0))</f>
        <v>6</v>
      </c>
      <c r="L484">
        <f>_xlfn.XLOOKUP(
    tblLabs[[#This Row],[Code]],
    'LAB PRICES'!$A$2:$A$12,
    'LAB PRICES'!$G$2:$G$12
)</f>
        <v>23</v>
      </c>
    </row>
    <row r="485" spans="1:12" x14ac:dyDescent="0.25">
      <c r="A485" t="s">
        <v>1745</v>
      </c>
      <c r="B485" t="s">
        <v>1991</v>
      </c>
      <c r="C485">
        <v>8</v>
      </c>
      <c r="D485" t="s">
        <v>1982</v>
      </c>
      <c r="E485" t="s">
        <v>1878</v>
      </c>
      <c r="F485" t="s">
        <v>1889</v>
      </c>
      <c r="G485" s="7">
        <v>45517</v>
      </c>
      <c r="H485" t="s">
        <v>136</v>
      </c>
      <c r="I485" t="s">
        <v>1990</v>
      </c>
      <c r="J485" t="s">
        <v>700</v>
      </c>
      <c r="K485">
        <f>INDEX('LAB PRICES'!$C$2:$F$12, MATCH(tblLabs[[#This Row],[Code]], 'LAB PRICES'!$A$2:$A$12, 0), MATCH(tblLabs[[#This Row],[Facility]], 'LAB PRICES'!$C$1:$F$1, 0))</f>
        <v>6</v>
      </c>
      <c r="L485">
        <f>_xlfn.XLOOKUP(
    tblLabs[[#This Row],[Code]],
    'LAB PRICES'!$A$2:$A$12,
    'LAB PRICES'!$G$2:$G$12
)</f>
        <v>23</v>
      </c>
    </row>
    <row r="486" spans="1:12" x14ac:dyDescent="0.25">
      <c r="A486" t="s">
        <v>1745</v>
      </c>
      <c r="B486" t="s">
        <v>1991</v>
      </c>
      <c r="C486">
        <v>10</v>
      </c>
      <c r="D486" t="s">
        <v>1980</v>
      </c>
      <c r="E486" t="s">
        <v>14</v>
      </c>
      <c r="F486" t="s">
        <v>1891</v>
      </c>
      <c r="G486" s="7">
        <v>45516</v>
      </c>
      <c r="H486" t="s">
        <v>136</v>
      </c>
      <c r="I486" t="s">
        <v>1990</v>
      </c>
      <c r="J486" t="s">
        <v>700</v>
      </c>
      <c r="K486">
        <f>INDEX('LAB PRICES'!$C$2:$F$12, MATCH(tblLabs[[#This Row],[Code]], 'LAB PRICES'!$A$2:$A$12, 0), MATCH(tblLabs[[#This Row],[Facility]], 'LAB PRICES'!$C$1:$F$1, 0))</f>
        <v>40</v>
      </c>
      <c r="L486">
        <f>_xlfn.XLOOKUP(
    tblLabs[[#This Row],[Code]],
    'LAB PRICES'!$A$2:$A$12,
    'LAB PRICES'!$G$2:$G$12
)</f>
        <v>100</v>
      </c>
    </row>
    <row r="487" spans="1:12" x14ac:dyDescent="0.25">
      <c r="A487" t="s">
        <v>1745</v>
      </c>
      <c r="B487" t="s">
        <v>1991</v>
      </c>
      <c r="C487">
        <v>12</v>
      </c>
      <c r="D487" t="s">
        <v>1986</v>
      </c>
      <c r="E487" t="s">
        <v>14</v>
      </c>
      <c r="F487" t="s">
        <v>1891</v>
      </c>
      <c r="G487" s="7">
        <v>45517</v>
      </c>
      <c r="H487" t="s">
        <v>136</v>
      </c>
      <c r="I487" t="s">
        <v>1990</v>
      </c>
      <c r="J487" t="s">
        <v>700</v>
      </c>
      <c r="K487">
        <f>INDEX('LAB PRICES'!$C$2:$F$12, MATCH(tblLabs[[#This Row],[Code]], 'LAB PRICES'!$A$2:$A$12, 0), MATCH(tblLabs[[#This Row],[Facility]], 'LAB PRICES'!$C$1:$F$1, 0))</f>
        <v>40</v>
      </c>
      <c r="L487">
        <f>_xlfn.XLOOKUP(
    tblLabs[[#This Row],[Code]],
    'LAB PRICES'!$A$2:$A$12,
    'LAB PRICES'!$G$2:$G$12
)</f>
        <v>100</v>
      </c>
    </row>
    <row r="488" spans="1:12" x14ac:dyDescent="0.25">
      <c r="A488" t="s">
        <v>1745</v>
      </c>
      <c r="B488" t="s">
        <v>1991</v>
      </c>
      <c r="C488">
        <v>9</v>
      </c>
      <c r="D488" t="s">
        <v>1988</v>
      </c>
      <c r="E488" t="s">
        <v>14</v>
      </c>
      <c r="F488" t="s">
        <v>1891</v>
      </c>
      <c r="G488" s="7">
        <v>45518</v>
      </c>
      <c r="H488" t="s">
        <v>136</v>
      </c>
      <c r="I488" t="s">
        <v>1990</v>
      </c>
      <c r="J488" t="s">
        <v>700</v>
      </c>
      <c r="K488">
        <f>INDEX('LAB PRICES'!$C$2:$F$12, MATCH(tblLabs[[#This Row],[Code]], 'LAB PRICES'!$A$2:$A$12, 0), MATCH(tblLabs[[#This Row],[Facility]], 'LAB PRICES'!$C$1:$F$1, 0))</f>
        <v>40</v>
      </c>
      <c r="L488">
        <f>_xlfn.XLOOKUP(
    tblLabs[[#This Row],[Code]],
    'LAB PRICES'!$A$2:$A$12,
    'LAB PRICES'!$G$2:$G$12
)</f>
        <v>100</v>
      </c>
    </row>
    <row r="489" spans="1:12" x14ac:dyDescent="0.25">
      <c r="A489" t="s">
        <v>1745</v>
      </c>
      <c r="B489" t="s">
        <v>1991</v>
      </c>
      <c r="C489">
        <v>5</v>
      </c>
      <c r="D489" t="s">
        <v>1962</v>
      </c>
      <c r="E489" t="s">
        <v>14</v>
      </c>
      <c r="F489" t="s">
        <v>1891</v>
      </c>
      <c r="G489" s="7">
        <v>45458</v>
      </c>
      <c r="H489" t="s">
        <v>62</v>
      </c>
      <c r="I489" t="s">
        <v>1990</v>
      </c>
      <c r="J489" t="s">
        <v>8</v>
      </c>
      <c r="K489">
        <f>INDEX('LAB PRICES'!$C$2:$F$12, MATCH(tblLabs[[#This Row],[Code]], 'LAB PRICES'!$A$2:$A$12, 0), MATCH(tblLabs[[#This Row],[Facility]], 'LAB PRICES'!$C$1:$F$1, 0))</f>
        <v>40</v>
      </c>
      <c r="L489">
        <f>_xlfn.XLOOKUP(
    tblLabs[[#This Row],[Code]],
    'LAB PRICES'!$A$2:$A$12,
    'LAB PRICES'!$G$2:$G$12
)</f>
        <v>100</v>
      </c>
    </row>
    <row r="490" spans="1:12" x14ac:dyDescent="0.25">
      <c r="A490" t="s">
        <v>1745</v>
      </c>
      <c r="B490" t="s">
        <v>1991</v>
      </c>
      <c r="C490">
        <v>5</v>
      </c>
      <c r="D490" t="s">
        <v>1957</v>
      </c>
      <c r="E490" t="s">
        <v>14</v>
      </c>
      <c r="F490" t="s">
        <v>1891</v>
      </c>
      <c r="G490" s="7">
        <v>45451</v>
      </c>
      <c r="H490" t="s">
        <v>71</v>
      </c>
      <c r="I490" t="s">
        <v>1990</v>
      </c>
      <c r="J490" t="s">
        <v>8</v>
      </c>
      <c r="K490">
        <f>INDEX('LAB PRICES'!$C$2:$F$12, MATCH(tblLabs[[#This Row],[Code]], 'LAB PRICES'!$A$2:$A$12, 0), MATCH(tblLabs[[#This Row],[Facility]], 'LAB PRICES'!$C$1:$F$1, 0))</f>
        <v>40</v>
      </c>
      <c r="L490">
        <f>_xlfn.XLOOKUP(
    tblLabs[[#This Row],[Code]],
    'LAB PRICES'!$A$2:$A$12,
    'LAB PRICES'!$G$2:$G$12
)</f>
        <v>100</v>
      </c>
    </row>
    <row r="491" spans="1:12" x14ac:dyDescent="0.25">
      <c r="A491" t="s">
        <v>1745</v>
      </c>
      <c r="B491" t="s">
        <v>1991</v>
      </c>
      <c r="C491">
        <v>5</v>
      </c>
      <c r="D491" t="s">
        <v>1967</v>
      </c>
      <c r="E491" t="s">
        <v>14</v>
      </c>
      <c r="F491" t="s">
        <v>1891</v>
      </c>
      <c r="G491" s="7">
        <v>45465</v>
      </c>
      <c r="H491" t="s">
        <v>136</v>
      </c>
      <c r="I491" t="s">
        <v>1990</v>
      </c>
      <c r="J491" t="s">
        <v>8</v>
      </c>
      <c r="K491">
        <f>INDEX('LAB PRICES'!$C$2:$F$12, MATCH(tblLabs[[#This Row],[Code]], 'LAB PRICES'!$A$2:$A$12, 0), MATCH(tblLabs[[#This Row],[Facility]], 'LAB PRICES'!$C$1:$F$1, 0))</f>
        <v>40</v>
      </c>
      <c r="L491">
        <f>_xlfn.XLOOKUP(
    tblLabs[[#This Row],[Code]],
    'LAB PRICES'!$A$2:$A$12,
    'LAB PRICES'!$G$2:$G$12
)</f>
        <v>100</v>
      </c>
    </row>
    <row r="492" spans="1:12" x14ac:dyDescent="0.25">
      <c r="A492" t="s">
        <v>1745</v>
      </c>
      <c r="B492" t="s">
        <v>1991</v>
      </c>
      <c r="C492">
        <v>12</v>
      </c>
      <c r="D492" t="s">
        <v>1952</v>
      </c>
      <c r="E492" t="s">
        <v>1878</v>
      </c>
      <c r="F492" t="s">
        <v>1889</v>
      </c>
      <c r="G492" s="7">
        <v>45449</v>
      </c>
      <c r="H492" t="s">
        <v>142</v>
      </c>
      <c r="I492" t="s">
        <v>1989</v>
      </c>
      <c r="J492" t="s">
        <v>8</v>
      </c>
      <c r="K492">
        <f>INDEX('LAB PRICES'!$C$2:$F$12, MATCH(tblLabs[[#This Row],[Code]], 'LAB PRICES'!$A$2:$A$12, 0), MATCH(tblLabs[[#This Row],[Facility]], 'LAB PRICES'!$C$1:$F$1, 0))</f>
        <v>6</v>
      </c>
      <c r="L492">
        <f>_xlfn.XLOOKUP(
    tblLabs[[#This Row],[Code]],
    'LAB PRICES'!$A$2:$A$12,
    'LAB PRICES'!$G$2:$G$12
)</f>
        <v>23</v>
      </c>
    </row>
    <row r="493" spans="1:12" x14ac:dyDescent="0.25">
      <c r="A493" t="s">
        <v>1745</v>
      </c>
      <c r="B493" t="s">
        <v>1991</v>
      </c>
      <c r="C493">
        <v>12</v>
      </c>
      <c r="D493" t="s">
        <v>1953</v>
      </c>
      <c r="E493" t="s">
        <v>1878</v>
      </c>
      <c r="F493" t="s">
        <v>1889</v>
      </c>
      <c r="G493" s="7">
        <v>45450</v>
      </c>
      <c r="H493" t="s">
        <v>71</v>
      </c>
      <c r="I493" t="s">
        <v>1989</v>
      </c>
      <c r="J493" t="s">
        <v>8</v>
      </c>
      <c r="K493">
        <f>INDEX('LAB PRICES'!$C$2:$F$12, MATCH(tblLabs[[#This Row],[Code]], 'LAB PRICES'!$A$2:$A$12, 0), MATCH(tblLabs[[#This Row],[Facility]], 'LAB PRICES'!$C$1:$F$1, 0))</f>
        <v>6</v>
      </c>
      <c r="L493">
        <f>_xlfn.XLOOKUP(
    tblLabs[[#This Row],[Code]],
    'LAB PRICES'!$A$2:$A$12,
    'LAB PRICES'!$G$2:$G$12
)</f>
        <v>23</v>
      </c>
    </row>
    <row r="494" spans="1:12" x14ac:dyDescent="0.25">
      <c r="A494" t="s">
        <v>1745</v>
      </c>
      <c r="B494" t="s">
        <v>1991</v>
      </c>
      <c r="C494">
        <v>8</v>
      </c>
      <c r="D494" t="s">
        <v>1954</v>
      </c>
      <c r="E494" t="s">
        <v>1878</v>
      </c>
      <c r="F494" t="s">
        <v>1889</v>
      </c>
      <c r="G494" s="7">
        <v>45450</v>
      </c>
      <c r="H494" t="s">
        <v>71</v>
      </c>
      <c r="I494" t="s">
        <v>1989</v>
      </c>
      <c r="J494" t="s">
        <v>8</v>
      </c>
      <c r="K494">
        <f>INDEX('LAB PRICES'!$C$2:$F$12, MATCH(tblLabs[[#This Row],[Code]], 'LAB PRICES'!$A$2:$A$12, 0), MATCH(tblLabs[[#This Row],[Facility]], 'LAB PRICES'!$C$1:$F$1, 0))</f>
        <v>6</v>
      </c>
      <c r="L494">
        <f>_xlfn.XLOOKUP(
    tblLabs[[#This Row],[Code]],
    'LAB PRICES'!$A$2:$A$12,
    'LAB PRICES'!$G$2:$G$12
)</f>
        <v>23</v>
      </c>
    </row>
    <row r="495" spans="1:12" x14ac:dyDescent="0.25">
      <c r="A495" t="s">
        <v>1745</v>
      </c>
      <c r="B495" t="s">
        <v>1991</v>
      </c>
      <c r="C495">
        <v>20</v>
      </c>
      <c r="D495" t="s">
        <v>1955</v>
      </c>
      <c r="E495" t="s">
        <v>1878</v>
      </c>
      <c r="F495" t="s">
        <v>1889</v>
      </c>
      <c r="G495" s="7">
        <v>45451</v>
      </c>
      <c r="H495" t="s">
        <v>71</v>
      </c>
      <c r="I495" t="s">
        <v>1989</v>
      </c>
      <c r="J495" t="s">
        <v>8</v>
      </c>
      <c r="K495">
        <f>INDEX('LAB PRICES'!$C$2:$F$12, MATCH(tblLabs[[#This Row],[Code]], 'LAB PRICES'!$A$2:$A$12, 0), MATCH(tblLabs[[#This Row],[Facility]], 'LAB PRICES'!$C$1:$F$1, 0))</f>
        <v>6</v>
      </c>
      <c r="L495">
        <f>_xlfn.XLOOKUP(
    tblLabs[[#This Row],[Code]],
    'LAB PRICES'!$A$2:$A$12,
    'LAB PRICES'!$G$2:$G$12
)</f>
        <v>23</v>
      </c>
    </row>
    <row r="496" spans="1:12" x14ac:dyDescent="0.25">
      <c r="A496" t="s">
        <v>1745</v>
      </c>
      <c r="B496" t="s">
        <v>1991</v>
      </c>
      <c r="C496">
        <v>12</v>
      </c>
      <c r="D496" t="s">
        <v>1956</v>
      </c>
      <c r="E496" t="s">
        <v>237</v>
      </c>
      <c r="F496" t="s">
        <v>1890</v>
      </c>
      <c r="G496" s="7">
        <v>45451</v>
      </c>
      <c r="H496" t="s">
        <v>71</v>
      </c>
      <c r="I496" t="s">
        <v>1989</v>
      </c>
      <c r="J496" t="s">
        <v>8</v>
      </c>
      <c r="K496">
        <f>INDEX('LAB PRICES'!$C$2:$F$12, MATCH(tblLabs[[#This Row],[Code]], 'LAB PRICES'!$A$2:$A$12, 0), MATCH(tblLabs[[#This Row],[Facility]], 'LAB PRICES'!$C$1:$F$1, 0))</f>
        <v>6</v>
      </c>
      <c r="L496">
        <f>_xlfn.XLOOKUP(
    tblLabs[[#This Row],[Code]],
    'LAB PRICES'!$A$2:$A$12,
    'LAB PRICES'!$G$2:$G$12
)</f>
        <v>27</v>
      </c>
    </row>
    <row r="497" spans="1:12" x14ac:dyDescent="0.25">
      <c r="A497" t="s">
        <v>1745</v>
      </c>
      <c r="B497" t="s">
        <v>1991</v>
      </c>
      <c r="C497">
        <v>8</v>
      </c>
      <c r="D497" t="s">
        <v>1959</v>
      </c>
      <c r="E497" t="s">
        <v>1878</v>
      </c>
      <c r="F497" t="s">
        <v>1889</v>
      </c>
      <c r="G497" s="7">
        <v>45457</v>
      </c>
      <c r="H497" t="s">
        <v>62</v>
      </c>
      <c r="I497" t="s">
        <v>1989</v>
      </c>
      <c r="J497" t="s">
        <v>8</v>
      </c>
      <c r="K497">
        <f>INDEX('LAB PRICES'!$C$2:$F$12, MATCH(tblLabs[[#This Row],[Code]], 'LAB PRICES'!$A$2:$A$12, 0), MATCH(tblLabs[[#This Row],[Facility]], 'LAB PRICES'!$C$1:$F$1, 0))</f>
        <v>6</v>
      </c>
      <c r="L497">
        <f>_xlfn.XLOOKUP(
    tblLabs[[#This Row],[Code]],
    'LAB PRICES'!$A$2:$A$12,
    'LAB PRICES'!$G$2:$G$12
)</f>
        <v>23</v>
      </c>
    </row>
    <row r="498" spans="1:12" x14ac:dyDescent="0.25">
      <c r="A498" t="s">
        <v>1745</v>
      </c>
      <c r="B498" t="s">
        <v>1991</v>
      </c>
      <c r="C498">
        <v>12</v>
      </c>
      <c r="D498" t="s">
        <v>1958</v>
      </c>
      <c r="E498" t="s">
        <v>1878</v>
      </c>
      <c r="F498" t="s">
        <v>1889</v>
      </c>
      <c r="G498" s="7">
        <v>45457</v>
      </c>
      <c r="H498" t="s">
        <v>62</v>
      </c>
      <c r="I498" t="s">
        <v>1989</v>
      </c>
      <c r="J498" t="s">
        <v>8</v>
      </c>
      <c r="K498">
        <f>INDEX('LAB PRICES'!$C$2:$F$12, MATCH(tblLabs[[#This Row],[Code]], 'LAB PRICES'!$A$2:$A$12, 0), MATCH(tblLabs[[#This Row],[Facility]], 'LAB PRICES'!$C$1:$F$1, 0))</f>
        <v>6</v>
      </c>
      <c r="L498">
        <f>_xlfn.XLOOKUP(
    tblLabs[[#This Row],[Code]],
    'LAB PRICES'!$A$2:$A$12,
    'LAB PRICES'!$G$2:$G$12
)</f>
        <v>23</v>
      </c>
    </row>
    <row r="499" spans="1:12" x14ac:dyDescent="0.25">
      <c r="A499" t="s">
        <v>1745</v>
      </c>
      <c r="B499" t="s">
        <v>1991</v>
      </c>
      <c r="C499">
        <v>12</v>
      </c>
      <c r="D499" t="s">
        <v>1961</v>
      </c>
      <c r="E499" t="s">
        <v>237</v>
      </c>
      <c r="F499" t="s">
        <v>1890</v>
      </c>
      <c r="G499" s="7">
        <v>45458</v>
      </c>
      <c r="H499" t="s">
        <v>62</v>
      </c>
      <c r="I499" t="s">
        <v>1989</v>
      </c>
      <c r="J499" t="s">
        <v>8</v>
      </c>
      <c r="K499">
        <f>INDEX('LAB PRICES'!$C$2:$F$12, MATCH(tblLabs[[#This Row],[Code]], 'LAB PRICES'!$A$2:$A$12, 0), MATCH(tblLabs[[#This Row],[Facility]], 'LAB PRICES'!$C$1:$F$1, 0))</f>
        <v>6</v>
      </c>
      <c r="L499">
        <f>_xlfn.XLOOKUP(
    tblLabs[[#This Row],[Code]],
    'LAB PRICES'!$A$2:$A$12,
    'LAB PRICES'!$G$2:$G$12
)</f>
        <v>27</v>
      </c>
    </row>
    <row r="500" spans="1:12" x14ac:dyDescent="0.25">
      <c r="A500" t="s">
        <v>1745</v>
      </c>
      <c r="B500" t="s">
        <v>1991</v>
      </c>
      <c r="C500">
        <v>20</v>
      </c>
      <c r="D500" t="s">
        <v>1960</v>
      </c>
      <c r="E500" t="s">
        <v>1878</v>
      </c>
      <c r="F500" t="s">
        <v>1889</v>
      </c>
      <c r="G500" s="7">
        <v>45458</v>
      </c>
      <c r="H500" t="s">
        <v>62</v>
      </c>
      <c r="I500" t="s">
        <v>1989</v>
      </c>
      <c r="J500" t="s">
        <v>8</v>
      </c>
      <c r="K500">
        <f>INDEX('LAB PRICES'!$C$2:$F$12, MATCH(tblLabs[[#This Row],[Code]], 'LAB PRICES'!$A$2:$A$12, 0), MATCH(tblLabs[[#This Row],[Facility]], 'LAB PRICES'!$C$1:$F$1, 0))</f>
        <v>6</v>
      </c>
      <c r="L500">
        <f>_xlfn.XLOOKUP(
    tblLabs[[#This Row],[Code]],
    'LAB PRICES'!$A$2:$A$12,
    'LAB PRICES'!$G$2:$G$12
)</f>
        <v>23</v>
      </c>
    </row>
    <row r="501" spans="1:12" x14ac:dyDescent="0.25">
      <c r="A501" t="s">
        <v>1745</v>
      </c>
      <c r="B501" t="s">
        <v>1991</v>
      </c>
      <c r="C501">
        <v>11</v>
      </c>
      <c r="D501" t="s">
        <v>1964</v>
      </c>
      <c r="E501" t="s">
        <v>1878</v>
      </c>
      <c r="F501" t="s">
        <v>1889</v>
      </c>
      <c r="G501" s="7">
        <v>45464</v>
      </c>
      <c r="H501" t="s">
        <v>136</v>
      </c>
      <c r="I501" t="s">
        <v>1989</v>
      </c>
      <c r="J501" t="s">
        <v>8</v>
      </c>
      <c r="K501">
        <f>INDEX('LAB PRICES'!$C$2:$F$12, MATCH(tblLabs[[#This Row],[Code]], 'LAB PRICES'!$A$2:$A$12, 0), MATCH(tblLabs[[#This Row],[Facility]], 'LAB PRICES'!$C$1:$F$1, 0))</f>
        <v>6</v>
      </c>
      <c r="L501">
        <f>_xlfn.XLOOKUP(
    tblLabs[[#This Row],[Code]],
    'LAB PRICES'!$A$2:$A$12,
    'LAB PRICES'!$G$2:$G$12
)</f>
        <v>23</v>
      </c>
    </row>
    <row r="502" spans="1:12" x14ac:dyDescent="0.25">
      <c r="A502" t="s">
        <v>1745</v>
      </c>
      <c r="B502" t="s">
        <v>1991</v>
      </c>
      <c r="C502">
        <v>12</v>
      </c>
      <c r="D502" t="s">
        <v>1963</v>
      </c>
      <c r="E502" t="s">
        <v>1878</v>
      </c>
      <c r="F502" t="s">
        <v>1889</v>
      </c>
      <c r="G502" s="7">
        <v>45464</v>
      </c>
      <c r="H502" t="s">
        <v>136</v>
      </c>
      <c r="I502" t="s">
        <v>1989</v>
      </c>
      <c r="J502" t="s">
        <v>8</v>
      </c>
      <c r="K502">
        <f>INDEX('LAB PRICES'!$C$2:$F$12, MATCH(tblLabs[[#This Row],[Code]], 'LAB PRICES'!$A$2:$A$12, 0), MATCH(tblLabs[[#This Row],[Facility]], 'LAB PRICES'!$C$1:$F$1, 0))</f>
        <v>6</v>
      </c>
      <c r="L502">
        <f>_xlfn.XLOOKUP(
    tblLabs[[#This Row],[Code]],
    'LAB PRICES'!$A$2:$A$12,
    'LAB PRICES'!$G$2:$G$12
)</f>
        <v>23</v>
      </c>
    </row>
    <row r="503" spans="1:12" x14ac:dyDescent="0.25">
      <c r="A503" t="s">
        <v>1745</v>
      </c>
      <c r="B503" t="s">
        <v>1991</v>
      </c>
      <c r="C503">
        <v>12</v>
      </c>
      <c r="D503" t="s">
        <v>1966</v>
      </c>
      <c r="E503" t="s">
        <v>237</v>
      </c>
      <c r="F503" t="s">
        <v>1890</v>
      </c>
      <c r="G503" s="7">
        <v>45465</v>
      </c>
      <c r="H503" t="s">
        <v>136</v>
      </c>
      <c r="I503" t="s">
        <v>1989</v>
      </c>
      <c r="J503" t="s">
        <v>8</v>
      </c>
      <c r="K503">
        <f>INDEX('LAB PRICES'!$C$2:$F$12, MATCH(tblLabs[[#This Row],[Code]], 'LAB PRICES'!$A$2:$A$12, 0), MATCH(tblLabs[[#This Row],[Facility]], 'LAB PRICES'!$C$1:$F$1, 0))</f>
        <v>6</v>
      </c>
      <c r="L503">
        <f>_xlfn.XLOOKUP(
    tblLabs[[#This Row],[Code]],
    'LAB PRICES'!$A$2:$A$12,
    'LAB PRICES'!$G$2:$G$12
)</f>
        <v>27</v>
      </c>
    </row>
    <row r="504" spans="1:12" x14ac:dyDescent="0.25">
      <c r="A504" t="s">
        <v>1745</v>
      </c>
      <c r="B504" t="s">
        <v>1991</v>
      </c>
      <c r="C504">
        <v>30</v>
      </c>
      <c r="D504" t="s">
        <v>1965</v>
      </c>
      <c r="E504" t="s">
        <v>1878</v>
      </c>
      <c r="F504" t="s">
        <v>1889</v>
      </c>
      <c r="G504" s="7">
        <v>45465</v>
      </c>
      <c r="H504" t="s">
        <v>136</v>
      </c>
      <c r="I504" t="s">
        <v>1989</v>
      </c>
      <c r="J504" t="s">
        <v>8</v>
      </c>
      <c r="K504">
        <f>INDEX('LAB PRICES'!$C$2:$F$12, MATCH(tblLabs[[#This Row],[Code]], 'LAB PRICES'!$A$2:$A$12, 0), MATCH(tblLabs[[#This Row],[Facility]], 'LAB PRICES'!$C$1:$F$1, 0))</f>
        <v>6</v>
      </c>
      <c r="L504">
        <f>_xlfn.XLOOKUP(
    tblLabs[[#This Row],[Code]],
    'LAB PRICES'!$A$2:$A$12,
    'LAB PRICES'!$G$2:$G$12
)</f>
        <v>23</v>
      </c>
    </row>
    <row r="505" spans="1:12" x14ac:dyDescent="0.25">
      <c r="A505" t="s">
        <v>1745</v>
      </c>
      <c r="B505" t="s">
        <v>1991</v>
      </c>
      <c r="C505">
        <v>5</v>
      </c>
      <c r="D505" t="s">
        <v>1972</v>
      </c>
      <c r="E505" t="s">
        <v>14</v>
      </c>
      <c r="F505" t="s">
        <v>1891</v>
      </c>
      <c r="G505" s="7">
        <v>45479</v>
      </c>
      <c r="H505" t="s">
        <v>136</v>
      </c>
      <c r="I505" t="s">
        <v>1990</v>
      </c>
      <c r="J505" t="s">
        <v>8</v>
      </c>
      <c r="K505">
        <f>INDEX('LAB PRICES'!$C$2:$F$12, MATCH(tblLabs[[#This Row],[Code]], 'LAB PRICES'!$A$2:$A$12, 0), MATCH(tblLabs[[#This Row],[Facility]], 'LAB PRICES'!$C$1:$F$1, 0))</f>
        <v>40</v>
      </c>
      <c r="L505">
        <f>_xlfn.XLOOKUP(
    tblLabs[[#This Row],[Code]],
    'LAB PRICES'!$A$2:$A$12,
    'LAB PRICES'!$G$2:$G$12
)</f>
        <v>100</v>
      </c>
    </row>
    <row r="506" spans="1:12" x14ac:dyDescent="0.25">
      <c r="A506" t="s">
        <v>1745</v>
      </c>
      <c r="B506" t="s">
        <v>1991</v>
      </c>
      <c r="C506">
        <v>20</v>
      </c>
      <c r="D506" t="s">
        <v>1969</v>
      </c>
      <c r="E506" t="s">
        <v>1878</v>
      </c>
      <c r="F506" t="s">
        <v>1889</v>
      </c>
      <c r="G506" s="7">
        <v>45478</v>
      </c>
      <c r="H506" t="s">
        <v>136</v>
      </c>
      <c r="I506" t="s">
        <v>1989</v>
      </c>
      <c r="J506" t="s">
        <v>8</v>
      </c>
      <c r="K506">
        <f>INDEX('LAB PRICES'!$C$2:$F$12, MATCH(tblLabs[[#This Row],[Code]], 'LAB PRICES'!$A$2:$A$12, 0), MATCH(tblLabs[[#This Row],[Facility]], 'LAB PRICES'!$C$1:$F$1, 0))</f>
        <v>6</v>
      </c>
      <c r="L506">
        <f>_xlfn.XLOOKUP(
    tblLabs[[#This Row],[Code]],
    'LAB PRICES'!$A$2:$A$12,
    'LAB PRICES'!$G$2:$G$12
)</f>
        <v>23</v>
      </c>
    </row>
    <row r="507" spans="1:12" x14ac:dyDescent="0.25">
      <c r="A507" t="s">
        <v>1745</v>
      </c>
      <c r="B507" t="s">
        <v>1991</v>
      </c>
      <c r="C507">
        <v>12</v>
      </c>
      <c r="D507" t="s">
        <v>1968</v>
      </c>
      <c r="E507" t="s">
        <v>1878</v>
      </c>
      <c r="F507" t="s">
        <v>1889</v>
      </c>
      <c r="G507" s="7">
        <v>45478</v>
      </c>
      <c r="H507" t="s">
        <v>136</v>
      </c>
      <c r="I507" t="s">
        <v>1989</v>
      </c>
      <c r="J507" t="s">
        <v>8</v>
      </c>
      <c r="K507">
        <f>INDEX('LAB PRICES'!$C$2:$F$12, MATCH(tblLabs[[#This Row],[Code]], 'LAB PRICES'!$A$2:$A$12, 0), MATCH(tblLabs[[#This Row],[Facility]], 'LAB PRICES'!$C$1:$F$1, 0))</f>
        <v>6</v>
      </c>
      <c r="L507">
        <f>_xlfn.XLOOKUP(
    tblLabs[[#This Row],[Code]],
    'LAB PRICES'!$A$2:$A$12,
    'LAB PRICES'!$G$2:$G$12
)</f>
        <v>23</v>
      </c>
    </row>
    <row r="508" spans="1:12" x14ac:dyDescent="0.25">
      <c r="A508" t="s">
        <v>1745</v>
      </c>
      <c r="B508" t="s">
        <v>1991</v>
      </c>
      <c r="C508">
        <v>12</v>
      </c>
      <c r="D508" t="s">
        <v>1971</v>
      </c>
      <c r="E508" t="s">
        <v>237</v>
      </c>
      <c r="F508" t="s">
        <v>1890</v>
      </c>
      <c r="G508" s="7">
        <v>45479</v>
      </c>
      <c r="H508" t="s">
        <v>136</v>
      </c>
      <c r="I508" t="s">
        <v>1989</v>
      </c>
      <c r="J508" t="s">
        <v>8</v>
      </c>
      <c r="K508">
        <f>INDEX('LAB PRICES'!$C$2:$F$12, MATCH(tblLabs[[#This Row],[Code]], 'LAB PRICES'!$A$2:$A$12, 0), MATCH(tblLabs[[#This Row],[Facility]], 'LAB PRICES'!$C$1:$F$1, 0))</f>
        <v>6</v>
      </c>
      <c r="L508">
        <f>_xlfn.XLOOKUP(
    tblLabs[[#This Row],[Code]],
    'LAB PRICES'!$A$2:$A$12,
    'LAB PRICES'!$G$2:$G$12
)</f>
        <v>27</v>
      </c>
    </row>
    <row r="509" spans="1:12" x14ac:dyDescent="0.25">
      <c r="A509" t="s">
        <v>1745</v>
      </c>
      <c r="B509" t="s">
        <v>1991</v>
      </c>
      <c r="C509">
        <v>30</v>
      </c>
      <c r="D509" t="s">
        <v>1970</v>
      </c>
      <c r="E509" t="s">
        <v>1878</v>
      </c>
      <c r="F509" t="s">
        <v>1889</v>
      </c>
      <c r="G509" s="7">
        <v>45479</v>
      </c>
      <c r="H509" t="s">
        <v>136</v>
      </c>
      <c r="I509" t="s">
        <v>1989</v>
      </c>
      <c r="J509" t="s">
        <v>8</v>
      </c>
      <c r="K509">
        <f>INDEX('LAB PRICES'!$C$2:$F$12, MATCH(tblLabs[[#This Row],[Code]], 'LAB PRICES'!$A$2:$A$12, 0), MATCH(tblLabs[[#This Row],[Facility]], 'LAB PRICES'!$C$1:$F$1, 0))</f>
        <v>6</v>
      </c>
      <c r="L509">
        <f>_xlfn.XLOOKUP(
    tblLabs[[#This Row],[Code]],
    'LAB PRICES'!$A$2:$A$12,
    'LAB PRICES'!$G$2:$G$12
)</f>
        <v>23</v>
      </c>
    </row>
    <row r="510" spans="1:12" x14ac:dyDescent="0.25">
      <c r="A510" t="s">
        <v>303</v>
      </c>
      <c r="B510" t="s">
        <v>304</v>
      </c>
      <c r="C510">
        <v>5</v>
      </c>
      <c r="D510" t="s">
        <v>286</v>
      </c>
      <c r="E510" t="s">
        <v>14</v>
      </c>
      <c r="F510" t="s">
        <v>1891</v>
      </c>
      <c r="G510" s="7">
        <v>45591</v>
      </c>
      <c r="H510" t="s">
        <v>142</v>
      </c>
      <c r="I510" t="s">
        <v>282</v>
      </c>
      <c r="J510" t="s">
        <v>8</v>
      </c>
      <c r="K510">
        <f>INDEX('LAB PRICES'!$C$2:$F$12, MATCH(tblLabs[[#This Row],[Code]], 'LAB PRICES'!$A$2:$A$12, 0), MATCH(tblLabs[[#This Row],[Facility]], 'LAB PRICES'!$C$1:$F$1, 0))</f>
        <v>40</v>
      </c>
      <c r="L510">
        <f>_xlfn.XLOOKUP(
    tblLabs[[#This Row],[Code]],
    'LAB PRICES'!$A$2:$A$12,
    'LAB PRICES'!$G$2:$G$12
)</f>
        <v>100</v>
      </c>
    </row>
    <row r="511" spans="1:12" x14ac:dyDescent="0.25">
      <c r="A511" t="s">
        <v>303</v>
      </c>
      <c r="B511" t="s">
        <v>304</v>
      </c>
      <c r="C511">
        <v>12</v>
      </c>
      <c r="D511" t="s">
        <v>281</v>
      </c>
      <c r="E511" t="s">
        <v>1878</v>
      </c>
      <c r="F511" t="s">
        <v>1889</v>
      </c>
      <c r="G511" s="7">
        <v>45589</v>
      </c>
      <c r="H511" t="s">
        <v>142</v>
      </c>
      <c r="I511" t="s">
        <v>282</v>
      </c>
      <c r="J511" t="s">
        <v>8</v>
      </c>
      <c r="K511">
        <f>INDEX('LAB PRICES'!$C$2:$F$12, MATCH(tblLabs[[#This Row],[Code]], 'LAB PRICES'!$A$2:$A$12, 0), MATCH(tblLabs[[#This Row],[Facility]], 'LAB PRICES'!$C$1:$F$1, 0))</f>
        <v>6</v>
      </c>
      <c r="L511">
        <f>_xlfn.XLOOKUP(
    tblLabs[[#This Row],[Code]],
    'LAB PRICES'!$A$2:$A$12,
    'LAB PRICES'!$G$2:$G$12
)</f>
        <v>23</v>
      </c>
    </row>
    <row r="512" spans="1:12" x14ac:dyDescent="0.25">
      <c r="A512" t="s">
        <v>303</v>
      </c>
      <c r="B512" t="s">
        <v>304</v>
      </c>
      <c r="C512">
        <v>12</v>
      </c>
      <c r="D512" t="s">
        <v>285</v>
      </c>
      <c r="E512" t="s">
        <v>237</v>
      </c>
      <c r="F512" t="s">
        <v>1890</v>
      </c>
      <c r="G512" s="7">
        <v>45591</v>
      </c>
      <c r="H512" t="s">
        <v>142</v>
      </c>
      <c r="I512" t="s">
        <v>282</v>
      </c>
      <c r="J512" t="s">
        <v>8</v>
      </c>
      <c r="K512">
        <f>INDEX('LAB PRICES'!$C$2:$F$12, MATCH(tblLabs[[#This Row],[Code]], 'LAB PRICES'!$A$2:$A$12, 0), MATCH(tblLabs[[#This Row],[Facility]], 'LAB PRICES'!$C$1:$F$1, 0))</f>
        <v>6</v>
      </c>
      <c r="L512">
        <f>_xlfn.XLOOKUP(
    tblLabs[[#This Row],[Code]],
    'LAB PRICES'!$A$2:$A$12,
    'LAB PRICES'!$G$2:$G$12
)</f>
        <v>27</v>
      </c>
    </row>
    <row r="513" spans="1:12" x14ac:dyDescent="0.25">
      <c r="A513" t="s">
        <v>303</v>
      </c>
      <c r="B513" t="s">
        <v>304</v>
      </c>
      <c r="C513">
        <v>20</v>
      </c>
      <c r="D513" t="s">
        <v>284</v>
      </c>
      <c r="E513" t="s">
        <v>1878</v>
      </c>
      <c r="F513" t="s">
        <v>1889</v>
      </c>
      <c r="G513" s="7">
        <v>45590</v>
      </c>
      <c r="H513" t="s">
        <v>142</v>
      </c>
      <c r="I513" t="s">
        <v>282</v>
      </c>
      <c r="J513" t="s">
        <v>8</v>
      </c>
      <c r="K513">
        <f>INDEX('LAB PRICES'!$C$2:$F$12, MATCH(tblLabs[[#This Row],[Code]], 'LAB PRICES'!$A$2:$A$12, 0), MATCH(tblLabs[[#This Row],[Facility]], 'LAB PRICES'!$C$1:$F$1, 0))</f>
        <v>6</v>
      </c>
      <c r="L513">
        <f>_xlfn.XLOOKUP(
    tblLabs[[#This Row],[Code]],
    'LAB PRICES'!$A$2:$A$12,
    'LAB PRICES'!$G$2:$G$12
)</f>
        <v>23</v>
      </c>
    </row>
    <row r="514" spans="1:12" x14ac:dyDescent="0.25">
      <c r="A514" t="s">
        <v>303</v>
      </c>
      <c r="B514" t="s">
        <v>304</v>
      </c>
      <c r="C514">
        <v>12</v>
      </c>
      <c r="D514" t="s">
        <v>283</v>
      </c>
      <c r="E514" t="s">
        <v>1878</v>
      </c>
      <c r="F514" t="s">
        <v>1889</v>
      </c>
      <c r="G514" s="7">
        <v>45590</v>
      </c>
      <c r="H514" t="s">
        <v>142</v>
      </c>
      <c r="I514" t="s">
        <v>282</v>
      </c>
      <c r="J514" t="s">
        <v>8</v>
      </c>
      <c r="K514">
        <f>INDEX('LAB PRICES'!$C$2:$F$12, MATCH(tblLabs[[#This Row],[Code]], 'LAB PRICES'!$A$2:$A$12, 0), MATCH(tblLabs[[#This Row],[Facility]], 'LAB PRICES'!$C$1:$F$1, 0))</f>
        <v>6</v>
      </c>
      <c r="L514">
        <f>_xlfn.XLOOKUP(
    tblLabs[[#This Row],[Code]],
    'LAB PRICES'!$A$2:$A$12,
    'LAB PRICES'!$G$2:$G$12
)</f>
        <v>23</v>
      </c>
    </row>
    <row r="515" spans="1:12" x14ac:dyDescent="0.25">
      <c r="A515" t="s">
        <v>303</v>
      </c>
      <c r="B515" t="s">
        <v>304</v>
      </c>
      <c r="C515">
        <v>3</v>
      </c>
      <c r="D515" t="s">
        <v>301</v>
      </c>
      <c r="E515" t="s">
        <v>14</v>
      </c>
      <c r="F515" t="s">
        <v>1891</v>
      </c>
      <c r="G515" s="7">
        <v>45612</v>
      </c>
      <c r="H515" t="s">
        <v>11</v>
      </c>
      <c r="I515" t="s">
        <v>288</v>
      </c>
      <c r="J515" t="s">
        <v>8</v>
      </c>
      <c r="K515">
        <f>INDEX('LAB PRICES'!$C$2:$F$12, MATCH(tblLabs[[#This Row],[Code]], 'LAB PRICES'!$A$2:$A$12, 0), MATCH(tblLabs[[#This Row],[Facility]], 'LAB PRICES'!$C$1:$F$1, 0))</f>
        <v>40</v>
      </c>
      <c r="L515">
        <f>_xlfn.XLOOKUP(
    tblLabs[[#This Row],[Code]],
    'LAB PRICES'!$A$2:$A$12,
    'LAB PRICES'!$G$2:$G$12
)</f>
        <v>100</v>
      </c>
    </row>
    <row r="516" spans="1:12" x14ac:dyDescent="0.25">
      <c r="A516" t="s">
        <v>303</v>
      </c>
      <c r="B516" t="s">
        <v>304</v>
      </c>
      <c r="C516">
        <v>3</v>
      </c>
      <c r="D516" t="s">
        <v>302</v>
      </c>
      <c r="E516" t="s">
        <v>14</v>
      </c>
      <c r="F516" t="s">
        <v>1891</v>
      </c>
      <c r="G516" s="7">
        <v>45612</v>
      </c>
      <c r="H516" t="s">
        <v>142</v>
      </c>
      <c r="I516" t="s">
        <v>290</v>
      </c>
      <c r="J516" t="s">
        <v>8</v>
      </c>
      <c r="K516">
        <f>INDEX('LAB PRICES'!$C$2:$F$12, MATCH(tblLabs[[#This Row],[Code]], 'LAB PRICES'!$A$2:$A$12, 0), MATCH(tblLabs[[#This Row],[Facility]], 'LAB PRICES'!$C$1:$F$1, 0))</f>
        <v>40</v>
      </c>
      <c r="L516">
        <f>_xlfn.XLOOKUP(
    tblLabs[[#This Row],[Code]],
    'LAB PRICES'!$A$2:$A$12,
    'LAB PRICES'!$G$2:$G$12
)</f>
        <v>100</v>
      </c>
    </row>
    <row r="517" spans="1:12" x14ac:dyDescent="0.25">
      <c r="A517" t="s">
        <v>303</v>
      </c>
      <c r="B517" t="s">
        <v>304</v>
      </c>
      <c r="C517">
        <v>12</v>
      </c>
      <c r="D517" t="s">
        <v>289</v>
      </c>
      <c r="E517" t="s">
        <v>1878</v>
      </c>
      <c r="F517" t="s">
        <v>1889</v>
      </c>
      <c r="G517" s="7">
        <v>45610</v>
      </c>
      <c r="H517" t="s">
        <v>142</v>
      </c>
      <c r="I517" t="s">
        <v>290</v>
      </c>
      <c r="J517" t="s">
        <v>8</v>
      </c>
      <c r="K517">
        <f>INDEX('LAB PRICES'!$C$2:$F$12, MATCH(tblLabs[[#This Row],[Code]], 'LAB PRICES'!$A$2:$A$12, 0), MATCH(tblLabs[[#This Row],[Facility]], 'LAB PRICES'!$C$1:$F$1, 0))</f>
        <v>6</v>
      </c>
      <c r="L517">
        <f>_xlfn.XLOOKUP(
    tblLabs[[#This Row],[Code]],
    'LAB PRICES'!$A$2:$A$12,
    'LAB PRICES'!$G$2:$G$12
)</f>
        <v>23</v>
      </c>
    </row>
    <row r="518" spans="1:12" x14ac:dyDescent="0.25">
      <c r="A518" t="s">
        <v>303</v>
      </c>
      <c r="B518" t="s">
        <v>304</v>
      </c>
      <c r="C518">
        <v>12</v>
      </c>
      <c r="D518" t="s">
        <v>287</v>
      </c>
      <c r="E518" t="s">
        <v>1878</v>
      </c>
      <c r="F518" t="s">
        <v>1889</v>
      </c>
      <c r="G518" s="7">
        <v>45610</v>
      </c>
      <c r="H518" t="s">
        <v>142</v>
      </c>
      <c r="I518" t="s">
        <v>288</v>
      </c>
      <c r="J518" t="s">
        <v>8</v>
      </c>
      <c r="K518">
        <f>INDEX('LAB PRICES'!$C$2:$F$12, MATCH(tblLabs[[#This Row],[Code]], 'LAB PRICES'!$A$2:$A$12, 0), MATCH(tblLabs[[#This Row],[Facility]], 'LAB PRICES'!$C$1:$F$1, 0))</f>
        <v>6</v>
      </c>
      <c r="L518">
        <f>_xlfn.XLOOKUP(
    tblLabs[[#This Row],[Code]],
    'LAB PRICES'!$A$2:$A$12,
    'LAB PRICES'!$G$2:$G$12
)</f>
        <v>23</v>
      </c>
    </row>
    <row r="519" spans="1:12" x14ac:dyDescent="0.25">
      <c r="A519" t="s">
        <v>303</v>
      </c>
      <c r="B519" t="s">
        <v>304</v>
      </c>
      <c r="C519">
        <v>8</v>
      </c>
      <c r="D519" t="s">
        <v>291</v>
      </c>
      <c r="E519" t="s">
        <v>1878</v>
      </c>
      <c r="F519" t="s">
        <v>1889</v>
      </c>
      <c r="G519" s="7">
        <v>45611</v>
      </c>
      <c r="H519" t="s">
        <v>11</v>
      </c>
      <c r="I519" t="s">
        <v>292</v>
      </c>
      <c r="J519" t="s">
        <v>8</v>
      </c>
      <c r="K519">
        <f>INDEX('LAB PRICES'!$C$2:$F$12, MATCH(tblLabs[[#This Row],[Code]], 'LAB PRICES'!$A$2:$A$12, 0), MATCH(tblLabs[[#This Row],[Facility]], 'LAB PRICES'!$C$1:$F$1, 0))</f>
        <v>6</v>
      </c>
      <c r="L519">
        <f>_xlfn.XLOOKUP(
    tblLabs[[#This Row],[Code]],
    'LAB PRICES'!$A$2:$A$12,
    'LAB PRICES'!$G$2:$G$12
)</f>
        <v>23</v>
      </c>
    </row>
    <row r="520" spans="1:12" x14ac:dyDescent="0.25">
      <c r="A520" t="s">
        <v>303</v>
      </c>
      <c r="B520" t="s">
        <v>304</v>
      </c>
      <c r="C520">
        <v>8</v>
      </c>
      <c r="D520" t="s">
        <v>293</v>
      </c>
      <c r="E520" t="s">
        <v>1878</v>
      </c>
      <c r="F520" t="s">
        <v>1889</v>
      </c>
      <c r="G520" s="7">
        <v>45611</v>
      </c>
      <c r="H520" t="s">
        <v>142</v>
      </c>
      <c r="I520" t="s">
        <v>290</v>
      </c>
      <c r="J520" t="s">
        <v>8</v>
      </c>
      <c r="K520">
        <f>INDEX('LAB PRICES'!$C$2:$F$12, MATCH(tblLabs[[#This Row],[Code]], 'LAB PRICES'!$A$2:$A$12, 0), MATCH(tblLabs[[#This Row],[Facility]], 'LAB PRICES'!$C$1:$F$1, 0))</f>
        <v>6</v>
      </c>
      <c r="L520">
        <f>_xlfn.XLOOKUP(
    tblLabs[[#This Row],[Code]],
    'LAB PRICES'!$A$2:$A$12,
    'LAB PRICES'!$G$2:$G$12
)</f>
        <v>23</v>
      </c>
    </row>
    <row r="521" spans="1:12" x14ac:dyDescent="0.25">
      <c r="A521" t="s">
        <v>303</v>
      </c>
      <c r="B521" t="s">
        <v>304</v>
      </c>
      <c r="C521">
        <v>12</v>
      </c>
      <c r="D521" t="s">
        <v>294</v>
      </c>
      <c r="E521" t="s">
        <v>1878</v>
      </c>
      <c r="F521" t="s">
        <v>1889</v>
      </c>
      <c r="G521" s="7">
        <v>45611</v>
      </c>
      <c r="H521" t="s">
        <v>11</v>
      </c>
      <c r="I521" t="s">
        <v>295</v>
      </c>
      <c r="J521" t="s">
        <v>8</v>
      </c>
      <c r="K521">
        <f>INDEX('LAB PRICES'!$C$2:$F$12, MATCH(tblLabs[[#This Row],[Code]], 'LAB PRICES'!$A$2:$A$12, 0), MATCH(tblLabs[[#This Row],[Facility]], 'LAB PRICES'!$C$1:$F$1, 0))</f>
        <v>6</v>
      </c>
      <c r="L521">
        <f>_xlfn.XLOOKUP(
    tblLabs[[#This Row],[Code]],
    'LAB PRICES'!$A$2:$A$12,
    'LAB PRICES'!$G$2:$G$12
)</f>
        <v>23</v>
      </c>
    </row>
    <row r="522" spans="1:12" x14ac:dyDescent="0.25">
      <c r="A522" t="s">
        <v>303</v>
      </c>
      <c r="B522" t="s">
        <v>304</v>
      </c>
      <c r="C522">
        <v>6</v>
      </c>
      <c r="D522" t="s">
        <v>297</v>
      </c>
      <c r="E522" t="s">
        <v>1878</v>
      </c>
      <c r="F522" t="s">
        <v>1889</v>
      </c>
      <c r="G522" s="7">
        <v>45611</v>
      </c>
      <c r="H522" t="s">
        <v>142</v>
      </c>
      <c r="I522" t="s">
        <v>292</v>
      </c>
      <c r="J522" t="s">
        <v>8</v>
      </c>
      <c r="K522">
        <f>INDEX('LAB PRICES'!$C$2:$F$12, MATCH(tblLabs[[#This Row],[Code]], 'LAB PRICES'!$A$2:$A$12, 0), MATCH(tblLabs[[#This Row],[Facility]], 'LAB PRICES'!$C$1:$F$1, 0))</f>
        <v>6</v>
      </c>
      <c r="L522">
        <f>_xlfn.XLOOKUP(
    tblLabs[[#This Row],[Code]],
    'LAB PRICES'!$A$2:$A$12,
    'LAB PRICES'!$G$2:$G$12
)</f>
        <v>23</v>
      </c>
    </row>
    <row r="523" spans="1:12" x14ac:dyDescent="0.25">
      <c r="A523" t="s">
        <v>303</v>
      </c>
      <c r="B523" t="s">
        <v>304</v>
      </c>
      <c r="C523">
        <v>14</v>
      </c>
      <c r="D523" t="s">
        <v>296</v>
      </c>
      <c r="E523" t="s">
        <v>1878</v>
      </c>
      <c r="F523" t="s">
        <v>1889</v>
      </c>
      <c r="G523" s="7">
        <v>45611</v>
      </c>
      <c r="H523" t="s">
        <v>142</v>
      </c>
      <c r="I523" t="s">
        <v>290</v>
      </c>
      <c r="J523" t="s">
        <v>8</v>
      </c>
      <c r="K523">
        <f>INDEX('LAB PRICES'!$C$2:$F$12, MATCH(tblLabs[[#This Row],[Code]], 'LAB PRICES'!$A$2:$A$12, 0), MATCH(tblLabs[[#This Row],[Facility]], 'LAB PRICES'!$C$1:$F$1, 0))</f>
        <v>6</v>
      </c>
      <c r="L523">
        <f>_xlfn.XLOOKUP(
    tblLabs[[#This Row],[Code]],
    'LAB PRICES'!$A$2:$A$12,
    'LAB PRICES'!$G$2:$G$12
)</f>
        <v>23</v>
      </c>
    </row>
    <row r="524" spans="1:12" x14ac:dyDescent="0.25">
      <c r="A524" t="s">
        <v>303</v>
      </c>
      <c r="B524" t="s">
        <v>304</v>
      </c>
      <c r="C524">
        <v>12</v>
      </c>
      <c r="D524" t="s">
        <v>298</v>
      </c>
      <c r="E524" t="s">
        <v>237</v>
      </c>
      <c r="F524" t="s">
        <v>1890</v>
      </c>
      <c r="G524" s="7">
        <v>45612</v>
      </c>
      <c r="H524" t="s">
        <v>142</v>
      </c>
      <c r="I524" t="s">
        <v>290</v>
      </c>
      <c r="J524" t="s">
        <v>8</v>
      </c>
      <c r="K524">
        <f>INDEX('LAB PRICES'!$C$2:$F$12, MATCH(tblLabs[[#This Row],[Code]], 'LAB PRICES'!$A$2:$A$12, 0), MATCH(tblLabs[[#This Row],[Facility]], 'LAB PRICES'!$C$1:$F$1, 0))</f>
        <v>6</v>
      </c>
      <c r="L524">
        <f>_xlfn.XLOOKUP(
    tblLabs[[#This Row],[Code]],
    'LAB PRICES'!$A$2:$A$12,
    'LAB PRICES'!$G$2:$G$12
)</f>
        <v>27</v>
      </c>
    </row>
    <row r="525" spans="1:12" x14ac:dyDescent="0.25">
      <c r="A525" t="s">
        <v>303</v>
      </c>
      <c r="B525" t="s">
        <v>304</v>
      </c>
      <c r="C525">
        <v>18</v>
      </c>
      <c r="D525" t="s">
        <v>300</v>
      </c>
      <c r="E525" t="s">
        <v>237</v>
      </c>
      <c r="F525" t="s">
        <v>1890</v>
      </c>
      <c r="G525" s="7">
        <v>45612</v>
      </c>
      <c r="H525" t="s">
        <v>11</v>
      </c>
      <c r="I525" t="s">
        <v>288</v>
      </c>
      <c r="J525" t="s">
        <v>8</v>
      </c>
      <c r="K525">
        <f>INDEX('LAB PRICES'!$C$2:$F$12, MATCH(tblLabs[[#This Row],[Code]], 'LAB PRICES'!$A$2:$A$12, 0), MATCH(tblLabs[[#This Row],[Facility]], 'LAB PRICES'!$C$1:$F$1, 0))</f>
        <v>6</v>
      </c>
      <c r="L525">
        <f>_xlfn.XLOOKUP(
    tblLabs[[#This Row],[Code]],
    'LAB PRICES'!$A$2:$A$12,
    'LAB PRICES'!$G$2:$G$12
)</f>
        <v>27</v>
      </c>
    </row>
    <row r="526" spans="1:12" x14ac:dyDescent="0.25">
      <c r="A526" t="s">
        <v>303</v>
      </c>
      <c r="B526" t="s">
        <v>304</v>
      </c>
      <c r="C526">
        <v>8</v>
      </c>
      <c r="D526" t="s">
        <v>299</v>
      </c>
      <c r="E526" t="s">
        <v>237</v>
      </c>
      <c r="F526" t="s">
        <v>1890</v>
      </c>
      <c r="G526" s="7">
        <v>45612</v>
      </c>
      <c r="H526" t="s">
        <v>142</v>
      </c>
      <c r="I526" t="s">
        <v>292</v>
      </c>
      <c r="J526" t="s">
        <v>8</v>
      </c>
      <c r="K526">
        <f>INDEX('LAB PRICES'!$C$2:$F$12, MATCH(tblLabs[[#This Row],[Code]], 'LAB PRICES'!$A$2:$A$12, 0), MATCH(tblLabs[[#This Row],[Facility]], 'LAB PRICES'!$C$1:$F$1, 0))</f>
        <v>6</v>
      </c>
      <c r="L526">
        <f>_xlfn.XLOOKUP(
    tblLabs[[#This Row],[Code]],
    'LAB PRICES'!$A$2:$A$12,
    'LAB PRICES'!$G$2:$G$12
)</f>
        <v>27</v>
      </c>
    </row>
    <row r="527" spans="1:12" x14ac:dyDescent="0.25">
      <c r="A527" t="s">
        <v>1931</v>
      </c>
      <c r="B527" t="s">
        <v>632</v>
      </c>
      <c r="C527" s="15">
        <v>17</v>
      </c>
      <c r="D527" s="14" t="s">
        <v>1934</v>
      </c>
      <c r="E527" t="s">
        <v>1878</v>
      </c>
      <c r="F527" t="s">
        <v>1889</v>
      </c>
      <c r="G527" s="7">
        <v>45498</v>
      </c>
      <c r="H527" t="s">
        <v>7</v>
      </c>
      <c r="I527" t="s">
        <v>1935</v>
      </c>
      <c r="J527" t="s">
        <v>8</v>
      </c>
      <c r="K527">
        <f>INDEX('LAB PRICES'!$C$2:$F$12, MATCH(tblLabs[[#This Row],[Code]], 'LAB PRICES'!$A$2:$A$12, 0), MATCH(tblLabs[[#This Row],[Facility]], 'LAB PRICES'!$C$1:$F$1, 0))</f>
        <v>6</v>
      </c>
      <c r="L527">
        <f>_xlfn.XLOOKUP(
    tblLabs[[#This Row],[Code]],
    'LAB PRICES'!$A$2:$A$12,
    'LAB PRICES'!$G$2:$G$12
)</f>
        <v>23</v>
      </c>
    </row>
    <row r="528" spans="1:12" x14ac:dyDescent="0.25">
      <c r="A528" t="s">
        <v>1931</v>
      </c>
      <c r="B528" t="s">
        <v>632</v>
      </c>
      <c r="C528" s="15">
        <v>12</v>
      </c>
      <c r="D528" s="14" t="s">
        <v>1938</v>
      </c>
      <c r="E528" t="s">
        <v>1878</v>
      </c>
      <c r="F528" t="s">
        <v>1889</v>
      </c>
      <c r="G528" s="7">
        <v>45499</v>
      </c>
      <c r="H528" t="s">
        <v>142</v>
      </c>
      <c r="I528" t="s">
        <v>1937</v>
      </c>
      <c r="J528" t="s">
        <v>8</v>
      </c>
      <c r="K528">
        <f>INDEX('LAB PRICES'!$C$2:$F$12, MATCH(tblLabs[[#This Row],[Code]], 'LAB PRICES'!$A$2:$A$12, 0), MATCH(tblLabs[[#This Row],[Facility]], 'LAB PRICES'!$C$1:$F$1, 0))</f>
        <v>6</v>
      </c>
      <c r="L528">
        <f>_xlfn.XLOOKUP(
    tblLabs[[#This Row],[Code]],
    'LAB PRICES'!$A$2:$A$12,
    'LAB PRICES'!$G$2:$G$12
)</f>
        <v>23</v>
      </c>
    </row>
    <row r="529" spans="1:12" x14ac:dyDescent="0.25">
      <c r="A529" t="s">
        <v>1931</v>
      </c>
      <c r="B529" t="s">
        <v>632</v>
      </c>
      <c r="C529" s="15">
        <v>11</v>
      </c>
      <c r="D529" s="14" t="s">
        <v>1936</v>
      </c>
      <c r="E529" t="s">
        <v>1878</v>
      </c>
      <c r="F529" t="s">
        <v>1889</v>
      </c>
      <c r="G529" s="7">
        <v>45499</v>
      </c>
      <c r="H529" t="s">
        <v>142</v>
      </c>
      <c r="I529" t="s">
        <v>1937</v>
      </c>
      <c r="J529" t="s">
        <v>8</v>
      </c>
      <c r="K529">
        <f>INDEX('LAB PRICES'!$C$2:$F$12, MATCH(tblLabs[[#This Row],[Code]], 'LAB PRICES'!$A$2:$A$12, 0), MATCH(tblLabs[[#This Row],[Facility]], 'LAB PRICES'!$C$1:$F$1, 0))</f>
        <v>6</v>
      </c>
      <c r="L529">
        <f>_xlfn.XLOOKUP(
    tblLabs[[#This Row],[Code]],
    'LAB PRICES'!$A$2:$A$12,
    'LAB PRICES'!$G$2:$G$12
)</f>
        <v>23</v>
      </c>
    </row>
    <row r="530" spans="1:12" x14ac:dyDescent="0.25">
      <c r="A530" t="s">
        <v>1931</v>
      </c>
      <c r="B530" t="s">
        <v>632</v>
      </c>
      <c r="C530" s="15">
        <v>16</v>
      </c>
      <c r="D530" s="14" t="s">
        <v>1939</v>
      </c>
      <c r="E530" t="s">
        <v>1878</v>
      </c>
      <c r="F530" t="s">
        <v>1889</v>
      </c>
      <c r="G530" s="7">
        <v>45499</v>
      </c>
      <c r="H530" t="s">
        <v>7</v>
      </c>
      <c r="I530" t="s">
        <v>1937</v>
      </c>
      <c r="J530" t="s">
        <v>8</v>
      </c>
      <c r="K530">
        <f>INDEX('LAB PRICES'!$C$2:$F$12, MATCH(tblLabs[[#This Row],[Code]], 'LAB PRICES'!$A$2:$A$12, 0), MATCH(tblLabs[[#This Row],[Facility]], 'LAB PRICES'!$C$1:$F$1, 0))</f>
        <v>6</v>
      </c>
      <c r="L530">
        <f>_xlfn.XLOOKUP(
    tblLabs[[#This Row],[Code]],
    'LAB PRICES'!$A$2:$A$12,
    'LAB PRICES'!$G$2:$G$12
)</f>
        <v>23</v>
      </c>
    </row>
    <row r="531" spans="1:12" x14ac:dyDescent="0.25">
      <c r="A531" t="s">
        <v>1931</v>
      </c>
      <c r="B531" t="s">
        <v>632</v>
      </c>
      <c r="C531" s="15">
        <v>16</v>
      </c>
      <c r="D531" s="14" t="s">
        <v>1941</v>
      </c>
      <c r="E531" t="s">
        <v>1878</v>
      </c>
      <c r="F531" t="s">
        <v>1889</v>
      </c>
      <c r="G531" s="7">
        <v>45500</v>
      </c>
      <c r="H531" t="s">
        <v>7</v>
      </c>
      <c r="I531" t="s">
        <v>1937</v>
      </c>
      <c r="J531" t="s">
        <v>8</v>
      </c>
      <c r="K531">
        <f>INDEX('LAB PRICES'!$C$2:$F$12, MATCH(tblLabs[[#This Row],[Code]], 'LAB PRICES'!$A$2:$A$12, 0), MATCH(tblLabs[[#This Row],[Facility]], 'LAB PRICES'!$C$1:$F$1, 0))</f>
        <v>6</v>
      </c>
      <c r="L531">
        <f>_xlfn.XLOOKUP(
    tblLabs[[#This Row],[Code]],
    'LAB PRICES'!$A$2:$A$12,
    'LAB PRICES'!$G$2:$G$12
)</f>
        <v>23</v>
      </c>
    </row>
    <row r="532" spans="1:12" x14ac:dyDescent="0.25">
      <c r="A532" t="s">
        <v>1931</v>
      </c>
      <c r="B532" t="s">
        <v>632</v>
      </c>
      <c r="C532" s="15">
        <v>12</v>
      </c>
      <c r="D532" s="14" t="s">
        <v>1942</v>
      </c>
      <c r="E532" t="s">
        <v>237</v>
      </c>
      <c r="F532" t="s">
        <v>1890</v>
      </c>
      <c r="G532" s="7">
        <v>45501</v>
      </c>
      <c r="H532" t="s">
        <v>142</v>
      </c>
      <c r="I532" t="s">
        <v>1937</v>
      </c>
      <c r="J532" t="s">
        <v>8</v>
      </c>
      <c r="K532">
        <f>INDEX('LAB PRICES'!$C$2:$F$12, MATCH(tblLabs[[#This Row],[Code]], 'LAB PRICES'!$A$2:$A$12, 0), MATCH(tblLabs[[#This Row],[Facility]], 'LAB PRICES'!$C$1:$F$1, 0))</f>
        <v>6</v>
      </c>
      <c r="L532">
        <f>_xlfn.XLOOKUP(
    tblLabs[[#This Row],[Code]],
    'LAB PRICES'!$A$2:$A$12,
    'LAB PRICES'!$G$2:$G$12
)</f>
        <v>27</v>
      </c>
    </row>
    <row r="533" spans="1:12" x14ac:dyDescent="0.25">
      <c r="A533" t="s">
        <v>1931</v>
      </c>
      <c r="B533" t="s">
        <v>632</v>
      </c>
      <c r="C533" s="15">
        <v>16</v>
      </c>
      <c r="D533" s="14" t="s">
        <v>1940</v>
      </c>
      <c r="E533" t="s">
        <v>1878</v>
      </c>
      <c r="F533" t="s">
        <v>1889</v>
      </c>
      <c r="G533" s="7">
        <v>45500</v>
      </c>
      <c r="H533" t="s">
        <v>142</v>
      </c>
      <c r="I533" t="s">
        <v>1937</v>
      </c>
      <c r="J533" t="s">
        <v>8</v>
      </c>
      <c r="K533">
        <f>INDEX('LAB PRICES'!$C$2:$F$12, MATCH(tblLabs[[#This Row],[Code]], 'LAB PRICES'!$A$2:$A$12, 0), MATCH(tblLabs[[#This Row],[Facility]], 'LAB PRICES'!$C$1:$F$1, 0))</f>
        <v>6</v>
      </c>
      <c r="L533">
        <f>_xlfn.XLOOKUP(
    tblLabs[[#This Row],[Code]],
    'LAB PRICES'!$A$2:$A$12,
    'LAB PRICES'!$G$2:$G$12
)</f>
        <v>23</v>
      </c>
    </row>
    <row r="534" spans="1:12" x14ac:dyDescent="0.25">
      <c r="A534" t="s">
        <v>1931</v>
      </c>
      <c r="B534" t="s">
        <v>632</v>
      </c>
      <c r="C534" s="15">
        <v>5</v>
      </c>
      <c r="D534" s="14" t="s">
        <v>1943</v>
      </c>
      <c r="E534" t="s">
        <v>14</v>
      </c>
      <c r="F534" t="s">
        <v>1891</v>
      </c>
      <c r="G534" s="7">
        <v>45501</v>
      </c>
      <c r="H534" t="s">
        <v>142</v>
      </c>
      <c r="I534" t="s">
        <v>1937</v>
      </c>
      <c r="J534" t="s">
        <v>8</v>
      </c>
      <c r="K534">
        <f>INDEX('LAB PRICES'!$C$2:$F$12, MATCH(tblLabs[[#This Row],[Code]], 'LAB PRICES'!$A$2:$A$12, 0), MATCH(tblLabs[[#This Row],[Facility]], 'LAB PRICES'!$C$1:$F$1, 0))</f>
        <v>40</v>
      </c>
      <c r="L534">
        <f>_xlfn.XLOOKUP(
    tblLabs[[#This Row],[Code]],
    'LAB PRICES'!$A$2:$A$12,
    'LAB PRICES'!$G$2:$G$12
)</f>
        <v>100</v>
      </c>
    </row>
    <row r="535" spans="1:12" x14ac:dyDescent="0.25">
      <c r="A535" t="s">
        <v>1931</v>
      </c>
      <c r="B535" t="s">
        <v>632</v>
      </c>
      <c r="C535" s="15">
        <v>5</v>
      </c>
      <c r="D535" s="14" t="s">
        <v>1950</v>
      </c>
      <c r="E535" t="s">
        <v>14</v>
      </c>
      <c r="F535" t="s">
        <v>1891</v>
      </c>
      <c r="G535" s="7">
        <v>45507</v>
      </c>
      <c r="H535" t="s">
        <v>7</v>
      </c>
      <c r="I535" t="s">
        <v>1937</v>
      </c>
      <c r="J535" t="s">
        <v>8</v>
      </c>
      <c r="K535">
        <f>INDEX('LAB PRICES'!$C$2:$F$12, MATCH(tblLabs[[#This Row],[Code]], 'LAB PRICES'!$A$2:$A$12, 0), MATCH(tblLabs[[#This Row],[Facility]], 'LAB PRICES'!$C$1:$F$1, 0))</f>
        <v>40</v>
      </c>
      <c r="L535">
        <f>_xlfn.XLOOKUP(
    tblLabs[[#This Row],[Code]],
    'LAB PRICES'!$A$2:$A$12,
    'LAB PRICES'!$G$2:$G$12
)</f>
        <v>100</v>
      </c>
    </row>
    <row r="536" spans="1:12" x14ac:dyDescent="0.25">
      <c r="A536" t="s">
        <v>1931</v>
      </c>
      <c r="B536" t="s">
        <v>632</v>
      </c>
      <c r="C536" s="15">
        <v>10</v>
      </c>
      <c r="D536" s="14" t="s">
        <v>1944</v>
      </c>
      <c r="E536" t="s">
        <v>1878</v>
      </c>
      <c r="F536" t="s">
        <v>1889</v>
      </c>
      <c r="G536" s="7">
        <v>45505</v>
      </c>
      <c r="H536" t="s">
        <v>7</v>
      </c>
      <c r="I536" t="s">
        <v>1945</v>
      </c>
      <c r="J536" t="s">
        <v>8</v>
      </c>
      <c r="K536">
        <f>INDEX('LAB PRICES'!$C$2:$F$12, MATCH(tblLabs[[#This Row],[Code]], 'LAB PRICES'!$A$2:$A$12, 0), MATCH(tblLabs[[#This Row],[Facility]], 'LAB PRICES'!$C$1:$F$1, 0))</f>
        <v>6</v>
      </c>
      <c r="L536">
        <f>_xlfn.XLOOKUP(
    tblLabs[[#This Row],[Code]],
    'LAB PRICES'!$A$2:$A$12,
    'LAB PRICES'!$G$2:$G$12
)</f>
        <v>23</v>
      </c>
    </row>
    <row r="537" spans="1:12" x14ac:dyDescent="0.25">
      <c r="A537" t="s">
        <v>1931</v>
      </c>
      <c r="B537" t="s">
        <v>632</v>
      </c>
      <c r="C537" s="15">
        <v>12</v>
      </c>
      <c r="D537" s="14" t="s">
        <v>1946</v>
      </c>
      <c r="E537" t="s">
        <v>1878</v>
      </c>
      <c r="F537" t="s">
        <v>1889</v>
      </c>
      <c r="G537" s="7">
        <v>45505</v>
      </c>
      <c r="H537" t="s">
        <v>7</v>
      </c>
      <c r="I537" t="s">
        <v>1945</v>
      </c>
      <c r="J537" t="s">
        <v>8</v>
      </c>
      <c r="K537">
        <f>INDEX('LAB PRICES'!$C$2:$F$12, MATCH(tblLabs[[#This Row],[Code]], 'LAB PRICES'!$A$2:$A$12, 0), MATCH(tblLabs[[#This Row],[Facility]], 'LAB PRICES'!$C$1:$F$1, 0))</f>
        <v>6</v>
      </c>
      <c r="L537">
        <f>_xlfn.XLOOKUP(
    tblLabs[[#This Row],[Code]],
    'LAB PRICES'!$A$2:$A$12,
    'LAB PRICES'!$G$2:$G$12
)</f>
        <v>23</v>
      </c>
    </row>
    <row r="538" spans="1:12" x14ac:dyDescent="0.25">
      <c r="A538" t="s">
        <v>1931</v>
      </c>
      <c r="B538" t="s">
        <v>632</v>
      </c>
      <c r="C538" s="15">
        <v>18</v>
      </c>
      <c r="D538" s="14" t="s">
        <v>1947</v>
      </c>
      <c r="E538" t="s">
        <v>1878</v>
      </c>
      <c r="F538" t="s">
        <v>1889</v>
      </c>
      <c r="G538" s="7">
        <v>45506</v>
      </c>
      <c r="H538" t="s">
        <v>7</v>
      </c>
      <c r="I538" t="s">
        <v>1945</v>
      </c>
      <c r="J538" t="s">
        <v>8</v>
      </c>
      <c r="K538">
        <f>INDEX('LAB PRICES'!$C$2:$F$12, MATCH(tblLabs[[#This Row],[Code]], 'LAB PRICES'!$A$2:$A$12, 0), MATCH(tblLabs[[#This Row],[Facility]], 'LAB PRICES'!$C$1:$F$1, 0))</f>
        <v>6</v>
      </c>
      <c r="L538">
        <f>_xlfn.XLOOKUP(
    tblLabs[[#This Row],[Code]],
    'LAB PRICES'!$A$2:$A$12,
    'LAB PRICES'!$G$2:$G$12
)</f>
        <v>23</v>
      </c>
    </row>
    <row r="539" spans="1:12" x14ac:dyDescent="0.25">
      <c r="A539" t="s">
        <v>1931</v>
      </c>
      <c r="B539" t="s">
        <v>632</v>
      </c>
      <c r="C539" s="15">
        <v>18</v>
      </c>
      <c r="D539" s="14" t="s">
        <v>1948</v>
      </c>
      <c r="E539" t="s">
        <v>1878</v>
      </c>
      <c r="F539" t="s">
        <v>1889</v>
      </c>
      <c r="G539" s="7">
        <v>45507</v>
      </c>
      <c r="H539" t="s">
        <v>7</v>
      </c>
      <c r="I539" t="s">
        <v>1945</v>
      </c>
      <c r="J539" t="s">
        <v>8</v>
      </c>
      <c r="K539">
        <f>INDEX('LAB PRICES'!$C$2:$F$12, MATCH(tblLabs[[#This Row],[Code]], 'LAB PRICES'!$A$2:$A$12, 0), MATCH(tblLabs[[#This Row],[Facility]], 'LAB PRICES'!$C$1:$F$1, 0))</f>
        <v>6</v>
      </c>
      <c r="L539">
        <f>_xlfn.XLOOKUP(
    tblLabs[[#This Row],[Code]],
    'LAB PRICES'!$A$2:$A$12,
    'LAB PRICES'!$G$2:$G$12
)</f>
        <v>23</v>
      </c>
    </row>
    <row r="540" spans="1:12" x14ac:dyDescent="0.25">
      <c r="A540" t="s">
        <v>1931</v>
      </c>
      <c r="B540" t="s">
        <v>632</v>
      </c>
      <c r="C540" s="15">
        <v>12</v>
      </c>
      <c r="D540" s="14" t="s">
        <v>1949</v>
      </c>
      <c r="E540" t="s">
        <v>237</v>
      </c>
      <c r="F540" t="s">
        <v>1890</v>
      </c>
      <c r="G540" s="7">
        <v>45507</v>
      </c>
      <c r="H540" t="s">
        <v>7</v>
      </c>
      <c r="I540" t="s">
        <v>1945</v>
      </c>
      <c r="J540" t="s">
        <v>8</v>
      </c>
      <c r="K540">
        <f>INDEX('LAB PRICES'!$C$2:$F$12, MATCH(tblLabs[[#This Row],[Code]], 'LAB PRICES'!$A$2:$A$12, 0), MATCH(tblLabs[[#This Row],[Facility]], 'LAB PRICES'!$C$1:$F$1, 0))</f>
        <v>6</v>
      </c>
      <c r="L540">
        <f>_xlfn.XLOOKUP(
    tblLabs[[#This Row],[Code]],
    'LAB PRICES'!$A$2:$A$12,
    'LAB PRICES'!$G$2:$G$12
)</f>
        <v>27</v>
      </c>
    </row>
    <row r="541" spans="1:12" x14ac:dyDescent="0.25">
      <c r="A541" t="s">
        <v>2183</v>
      </c>
      <c r="B541" t="s">
        <v>1721</v>
      </c>
      <c r="C541" s="15">
        <v>14</v>
      </c>
      <c r="D541" s="14" t="s">
        <v>1434</v>
      </c>
      <c r="E541" t="s">
        <v>1806</v>
      </c>
      <c r="F541" t="s">
        <v>1890</v>
      </c>
      <c r="G541" s="7">
        <v>45567</v>
      </c>
      <c r="H541" t="s">
        <v>126</v>
      </c>
      <c r="I541" t="s">
        <v>2484</v>
      </c>
      <c r="J541" t="s">
        <v>26</v>
      </c>
      <c r="K541">
        <f>INDEX('LAB PRICES'!$C$2:$F$12, MATCH(tblLabs[[#This Row],[Code]], 'LAB PRICES'!$A$2:$A$12, 0), MATCH(tblLabs[[#This Row],[Facility]], 'LAB PRICES'!$C$1:$F$1, 0))</f>
        <v>5</v>
      </c>
      <c r="L541">
        <f>_xlfn.XLOOKUP(
    tblLabs[[#This Row],[Code]],
    'LAB PRICES'!$A$2:$A$12,
    'LAB PRICES'!$G$2:$G$12
)</f>
        <v>27</v>
      </c>
    </row>
    <row r="542" spans="1:12" x14ac:dyDescent="0.25">
      <c r="A542" t="s">
        <v>2183</v>
      </c>
      <c r="B542" t="s">
        <v>1721</v>
      </c>
      <c r="C542" s="15">
        <v>14</v>
      </c>
      <c r="D542" s="14" t="s">
        <v>1436</v>
      </c>
      <c r="E542" t="s">
        <v>1806</v>
      </c>
      <c r="F542" t="s">
        <v>1890</v>
      </c>
      <c r="G542" s="7">
        <v>45568</v>
      </c>
      <c r="H542" t="s">
        <v>136</v>
      </c>
      <c r="I542" t="s">
        <v>2484</v>
      </c>
      <c r="J542" t="s">
        <v>26</v>
      </c>
      <c r="K542">
        <f>INDEX('LAB PRICES'!$C$2:$F$12, MATCH(tblLabs[[#This Row],[Code]], 'LAB PRICES'!$A$2:$A$12, 0), MATCH(tblLabs[[#This Row],[Facility]], 'LAB PRICES'!$C$1:$F$1, 0))</f>
        <v>5</v>
      </c>
      <c r="L542">
        <f>_xlfn.XLOOKUP(
    tblLabs[[#This Row],[Code]],
    'LAB PRICES'!$A$2:$A$12,
    'LAB PRICES'!$G$2:$G$12
)</f>
        <v>27</v>
      </c>
    </row>
    <row r="543" spans="1:12" x14ac:dyDescent="0.25">
      <c r="A543" t="s">
        <v>2183</v>
      </c>
      <c r="B543" t="s">
        <v>1721</v>
      </c>
      <c r="C543" s="15">
        <v>10</v>
      </c>
      <c r="D543" s="14" t="s">
        <v>1437</v>
      </c>
      <c r="E543" t="s">
        <v>1806</v>
      </c>
      <c r="F543" t="s">
        <v>1890</v>
      </c>
      <c r="G543" s="7">
        <v>45568</v>
      </c>
      <c r="H543" t="s">
        <v>136</v>
      </c>
      <c r="I543" t="s">
        <v>2484</v>
      </c>
      <c r="J543" t="s">
        <v>26</v>
      </c>
      <c r="K543">
        <f>INDEX('LAB PRICES'!$C$2:$F$12, MATCH(tblLabs[[#This Row],[Code]], 'LAB PRICES'!$A$2:$A$12, 0), MATCH(tblLabs[[#This Row],[Facility]], 'LAB PRICES'!$C$1:$F$1, 0))</f>
        <v>5</v>
      </c>
      <c r="L543">
        <f>_xlfn.XLOOKUP(
    tblLabs[[#This Row],[Code]],
    'LAB PRICES'!$A$2:$A$12,
    'LAB PRICES'!$G$2:$G$12
)</f>
        <v>27</v>
      </c>
    </row>
    <row r="544" spans="1:12" x14ac:dyDescent="0.25">
      <c r="A544" t="s">
        <v>2183</v>
      </c>
      <c r="B544" t="s">
        <v>1721</v>
      </c>
      <c r="C544" s="15">
        <v>7</v>
      </c>
      <c r="D544" s="14" t="s">
        <v>1438</v>
      </c>
      <c r="E544" t="s">
        <v>1806</v>
      </c>
      <c r="F544" t="s">
        <v>1890</v>
      </c>
      <c r="G544" s="7">
        <v>45569</v>
      </c>
      <c r="H544" t="s">
        <v>126</v>
      </c>
      <c r="I544" t="s">
        <v>2484</v>
      </c>
      <c r="J544" t="s">
        <v>26</v>
      </c>
      <c r="K544">
        <f>INDEX('LAB PRICES'!$C$2:$F$12, MATCH(tblLabs[[#This Row],[Code]], 'LAB PRICES'!$A$2:$A$12, 0), MATCH(tblLabs[[#This Row],[Facility]], 'LAB PRICES'!$C$1:$F$1, 0))</f>
        <v>5</v>
      </c>
      <c r="L544">
        <f>_xlfn.XLOOKUP(
    tblLabs[[#This Row],[Code]],
    'LAB PRICES'!$A$2:$A$12,
    'LAB PRICES'!$G$2:$G$12
)</f>
        <v>27</v>
      </c>
    </row>
    <row r="545" spans="1:12" x14ac:dyDescent="0.25">
      <c r="A545" t="s">
        <v>2209</v>
      </c>
      <c r="B545" t="s">
        <v>2210</v>
      </c>
      <c r="C545" s="15">
        <v>12</v>
      </c>
      <c r="D545" s="14" t="s">
        <v>2493</v>
      </c>
      <c r="E545" t="s">
        <v>1878</v>
      </c>
      <c r="F545" t="s">
        <v>1889</v>
      </c>
      <c r="G545" s="7">
        <v>45687</v>
      </c>
      <c r="H545" t="s">
        <v>142</v>
      </c>
      <c r="I545" t="s">
        <v>2491</v>
      </c>
      <c r="J545" t="s">
        <v>8</v>
      </c>
      <c r="K545">
        <f>INDEX('LAB PRICES'!$C$2:$F$12, MATCH(tblLabs[[#This Row],[Code]], 'LAB PRICES'!$A$2:$A$12, 0), MATCH(tblLabs[[#This Row],[Facility]], 'LAB PRICES'!$C$1:$F$1, 0))</f>
        <v>6</v>
      </c>
      <c r="L545">
        <f>_xlfn.XLOOKUP(
    tblLabs[[#This Row],[Code]],
    'LAB PRICES'!$A$2:$A$12,
    'LAB PRICES'!$G$2:$G$12
)</f>
        <v>23</v>
      </c>
    </row>
    <row r="546" spans="1:12" x14ac:dyDescent="0.25">
      <c r="A546" t="s">
        <v>2209</v>
      </c>
      <c r="B546" t="s">
        <v>2210</v>
      </c>
      <c r="C546" s="15">
        <v>5</v>
      </c>
      <c r="D546" s="14" t="s">
        <v>2497</v>
      </c>
      <c r="E546" t="s">
        <v>14</v>
      </c>
      <c r="F546" t="s">
        <v>1891</v>
      </c>
      <c r="G546" s="7">
        <v>45689</v>
      </c>
      <c r="H546" t="s">
        <v>142</v>
      </c>
      <c r="I546" t="s">
        <v>2491</v>
      </c>
      <c r="J546" t="s">
        <v>8</v>
      </c>
      <c r="K546">
        <f>INDEX('LAB PRICES'!$C$2:$F$12, MATCH(tblLabs[[#This Row],[Code]], 'LAB PRICES'!$A$2:$A$12, 0), MATCH(tblLabs[[#This Row],[Facility]], 'LAB PRICES'!$C$1:$F$1, 0))</f>
        <v>40</v>
      </c>
      <c r="L546">
        <f>_xlfn.XLOOKUP(
    tblLabs[[#This Row],[Code]],
    'LAB PRICES'!$A$2:$A$12,
    'LAB PRICES'!$G$2:$G$12
)</f>
        <v>100</v>
      </c>
    </row>
    <row r="547" spans="1:12" x14ac:dyDescent="0.25">
      <c r="A547" t="s">
        <v>2209</v>
      </c>
      <c r="B547" t="s">
        <v>2210</v>
      </c>
      <c r="C547" s="15">
        <v>12</v>
      </c>
      <c r="D547" s="14" t="s">
        <v>2496</v>
      </c>
      <c r="E547" t="s">
        <v>237</v>
      </c>
      <c r="F547" t="s">
        <v>1890</v>
      </c>
      <c r="G547" s="7">
        <v>45689</v>
      </c>
      <c r="H547" t="s">
        <v>142</v>
      </c>
      <c r="I547" t="s">
        <v>2491</v>
      </c>
      <c r="J547" t="s">
        <v>8</v>
      </c>
      <c r="K547">
        <f>INDEX('LAB PRICES'!$C$2:$F$12, MATCH(tblLabs[[#This Row],[Code]], 'LAB PRICES'!$A$2:$A$12, 0), MATCH(tblLabs[[#This Row],[Facility]], 'LAB PRICES'!$C$1:$F$1, 0))</f>
        <v>6</v>
      </c>
      <c r="L547">
        <f>_xlfn.XLOOKUP(
    tblLabs[[#This Row],[Code]],
    'LAB PRICES'!$A$2:$A$12,
    'LAB PRICES'!$G$2:$G$12
)</f>
        <v>27</v>
      </c>
    </row>
    <row r="548" spans="1:12" x14ac:dyDescent="0.25">
      <c r="A548" t="s">
        <v>2209</v>
      </c>
      <c r="B548" t="s">
        <v>2210</v>
      </c>
      <c r="C548" s="15">
        <v>5</v>
      </c>
      <c r="D548" s="14" t="s">
        <v>2496</v>
      </c>
      <c r="E548" t="s">
        <v>14</v>
      </c>
      <c r="F548" t="s">
        <v>1891</v>
      </c>
      <c r="G548" s="7">
        <v>45696</v>
      </c>
      <c r="H548" t="s">
        <v>142</v>
      </c>
      <c r="I548" t="s">
        <v>612</v>
      </c>
      <c r="J548" t="s">
        <v>8</v>
      </c>
      <c r="K548">
        <f>INDEX('LAB PRICES'!$C$2:$F$12, MATCH(tblLabs[[#This Row],[Code]], 'LAB PRICES'!$A$2:$A$12, 0), MATCH(tblLabs[[#This Row],[Facility]], 'LAB PRICES'!$C$1:$F$1, 0))</f>
        <v>40</v>
      </c>
      <c r="L548">
        <f>_xlfn.XLOOKUP(
    tblLabs[[#This Row],[Code]],
    'LAB PRICES'!$A$2:$A$12,
    'LAB PRICES'!$G$2:$G$12
)</f>
        <v>100</v>
      </c>
    </row>
    <row r="549" spans="1:12" x14ac:dyDescent="0.25">
      <c r="A549" t="s">
        <v>2209</v>
      </c>
      <c r="B549" t="s">
        <v>2210</v>
      </c>
      <c r="C549" s="15">
        <v>12</v>
      </c>
      <c r="D549" s="14" t="s">
        <v>2494</v>
      </c>
      <c r="E549" t="s">
        <v>1878</v>
      </c>
      <c r="F549" t="s">
        <v>1889</v>
      </c>
      <c r="G549" s="7">
        <v>45688</v>
      </c>
      <c r="H549" t="s">
        <v>142</v>
      </c>
      <c r="I549" t="s">
        <v>2491</v>
      </c>
      <c r="J549" t="s">
        <v>8</v>
      </c>
      <c r="K549">
        <f>INDEX('LAB PRICES'!$C$2:$F$12, MATCH(tblLabs[[#This Row],[Code]], 'LAB PRICES'!$A$2:$A$12, 0), MATCH(tblLabs[[#This Row],[Facility]], 'LAB PRICES'!$C$1:$F$1, 0))</f>
        <v>6</v>
      </c>
      <c r="L549">
        <f>_xlfn.XLOOKUP(
    tblLabs[[#This Row],[Code]],
    'LAB PRICES'!$A$2:$A$12,
    'LAB PRICES'!$G$2:$G$12
)</f>
        <v>23</v>
      </c>
    </row>
    <row r="550" spans="1:12" x14ac:dyDescent="0.25">
      <c r="A550" t="s">
        <v>2209</v>
      </c>
      <c r="B550" t="s">
        <v>2210</v>
      </c>
      <c r="C550" s="15">
        <v>5</v>
      </c>
      <c r="D550" s="14" t="s">
        <v>2494</v>
      </c>
      <c r="E550" t="s">
        <v>14</v>
      </c>
      <c r="F550" t="s">
        <v>1891</v>
      </c>
      <c r="G550" s="7">
        <v>45696</v>
      </c>
      <c r="H550" t="s">
        <v>71</v>
      </c>
      <c r="I550" t="s">
        <v>2499</v>
      </c>
      <c r="J550" t="s">
        <v>8</v>
      </c>
      <c r="K550">
        <f>INDEX('LAB PRICES'!$C$2:$F$12, MATCH(tblLabs[[#This Row],[Code]], 'LAB PRICES'!$A$2:$A$12, 0), MATCH(tblLabs[[#This Row],[Facility]], 'LAB PRICES'!$C$1:$F$1, 0))</f>
        <v>40</v>
      </c>
      <c r="L550">
        <f>_xlfn.XLOOKUP(
    tblLabs[[#This Row],[Code]],
    'LAB PRICES'!$A$2:$A$12,
    'LAB PRICES'!$G$2:$G$12
)</f>
        <v>100</v>
      </c>
    </row>
    <row r="551" spans="1:12" x14ac:dyDescent="0.25">
      <c r="A551" t="s">
        <v>2209</v>
      </c>
      <c r="B551" t="s">
        <v>2210</v>
      </c>
      <c r="C551" s="15">
        <v>14</v>
      </c>
      <c r="D551" s="14" t="s">
        <v>2495</v>
      </c>
      <c r="E551" t="s">
        <v>1878</v>
      </c>
      <c r="F551" t="s">
        <v>1889</v>
      </c>
      <c r="G551" s="7">
        <v>45688</v>
      </c>
      <c r="H551" t="s">
        <v>142</v>
      </c>
      <c r="I551" t="s">
        <v>2491</v>
      </c>
      <c r="J551" t="s">
        <v>8</v>
      </c>
      <c r="K551">
        <f>INDEX('LAB PRICES'!$C$2:$F$12, MATCH(tblLabs[[#This Row],[Code]], 'LAB PRICES'!$A$2:$A$12, 0), MATCH(tblLabs[[#This Row],[Facility]], 'LAB PRICES'!$C$1:$F$1, 0))</f>
        <v>6</v>
      </c>
      <c r="L551">
        <f>_xlfn.XLOOKUP(
    tblLabs[[#This Row],[Code]],
    'LAB PRICES'!$A$2:$A$12,
    'LAB PRICES'!$G$2:$G$12
)</f>
        <v>23</v>
      </c>
    </row>
    <row r="552" spans="1:12" x14ac:dyDescent="0.25">
      <c r="A552" t="s">
        <v>2209</v>
      </c>
      <c r="B552" t="s">
        <v>2210</v>
      </c>
      <c r="C552" s="15">
        <v>12</v>
      </c>
      <c r="D552" s="14" t="s">
        <v>2498</v>
      </c>
      <c r="E552" t="s">
        <v>1878</v>
      </c>
      <c r="F552" t="s">
        <v>1889</v>
      </c>
      <c r="G552" s="7">
        <v>45694</v>
      </c>
      <c r="H552" t="s">
        <v>71</v>
      </c>
      <c r="I552" t="s">
        <v>2499</v>
      </c>
      <c r="J552" t="s">
        <v>8</v>
      </c>
      <c r="K552">
        <f>INDEX('LAB PRICES'!$C$2:$F$12, MATCH(tblLabs[[#This Row],[Code]], 'LAB PRICES'!$A$2:$A$12, 0), MATCH(tblLabs[[#This Row],[Facility]], 'LAB PRICES'!$C$1:$F$1, 0))</f>
        <v>6</v>
      </c>
      <c r="L552">
        <f>_xlfn.XLOOKUP(
    tblLabs[[#This Row],[Code]],
    'LAB PRICES'!$A$2:$A$12,
    'LAB PRICES'!$G$2:$G$12
)</f>
        <v>23</v>
      </c>
    </row>
    <row r="553" spans="1:12" x14ac:dyDescent="0.25">
      <c r="A553" t="s">
        <v>2209</v>
      </c>
      <c r="B553" t="s">
        <v>2210</v>
      </c>
      <c r="C553" s="15">
        <v>12</v>
      </c>
      <c r="D553" s="14" t="s">
        <v>2504</v>
      </c>
      <c r="E553" t="s">
        <v>237</v>
      </c>
      <c r="F553" t="s">
        <v>1890</v>
      </c>
      <c r="G553" s="7">
        <v>45696</v>
      </c>
      <c r="H553" t="s">
        <v>142</v>
      </c>
      <c r="I553" t="s">
        <v>612</v>
      </c>
      <c r="J553" t="s">
        <v>8</v>
      </c>
      <c r="K553">
        <f>INDEX('LAB PRICES'!$C$2:$F$12, MATCH(tblLabs[[#This Row],[Code]], 'LAB PRICES'!$A$2:$A$12, 0), MATCH(tblLabs[[#This Row],[Facility]], 'LAB PRICES'!$C$1:$F$1, 0))</f>
        <v>6</v>
      </c>
      <c r="L553">
        <f>_xlfn.XLOOKUP(
    tblLabs[[#This Row],[Code]],
    'LAB PRICES'!$A$2:$A$12,
    'LAB PRICES'!$G$2:$G$12
)</f>
        <v>27</v>
      </c>
    </row>
    <row r="554" spans="1:12" x14ac:dyDescent="0.25">
      <c r="A554" t="s">
        <v>2209</v>
      </c>
      <c r="B554" t="s">
        <v>2210</v>
      </c>
      <c r="C554" s="15">
        <v>12</v>
      </c>
      <c r="D554" s="14" t="s">
        <v>2503</v>
      </c>
      <c r="E554" t="s">
        <v>237</v>
      </c>
      <c r="F554" t="s">
        <v>1890</v>
      </c>
      <c r="G554" s="7">
        <v>45696</v>
      </c>
      <c r="H554" t="s">
        <v>71</v>
      </c>
      <c r="I554" t="s">
        <v>2499</v>
      </c>
      <c r="J554" t="s">
        <v>8</v>
      </c>
      <c r="K554">
        <f>INDEX('LAB PRICES'!$C$2:$F$12, MATCH(tblLabs[[#This Row],[Code]], 'LAB PRICES'!$A$2:$A$12, 0), MATCH(tblLabs[[#This Row],[Facility]], 'LAB PRICES'!$C$1:$F$1, 0))</f>
        <v>6</v>
      </c>
      <c r="L554">
        <f>_xlfn.XLOOKUP(
    tblLabs[[#This Row],[Code]],
    'LAB PRICES'!$A$2:$A$12,
    'LAB PRICES'!$G$2:$G$12
)</f>
        <v>27</v>
      </c>
    </row>
    <row r="555" spans="1:12" x14ac:dyDescent="0.25">
      <c r="A555" t="s">
        <v>2209</v>
      </c>
      <c r="B555" t="s">
        <v>2210</v>
      </c>
      <c r="C555" s="15">
        <v>14</v>
      </c>
      <c r="D555" s="14" t="s">
        <v>2501</v>
      </c>
      <c r="E555" t="s">
        <v>1878</v>
      </c>
      <c r="F555" t="s">
        <v>1889</v>
      </c>
      <c r="G555" s="7">
        <v>45695</v>
      </c>
      <c r="H555" t="s">
        <v>142</v>
      </c>
      <c r="I555" t="s">
        <v>612</v>
      </c>
      <c r="J555" t="s">
        <v>8</v>
      </c>
      <c r="K555">
        <f>INDEX('LAB PRICES'!$C$2:$F$12, MATCH(tblLabs[[#This Row],[Code]], 'LAB PRICES'!$A$2:$A$12, 0), MATCH(tblLabs[[#This Row],[Facility]], 'LAB PRICES'!$C$1:$F$1, 0))</f>
        <v>6</v>
      </c>
      <c r="L555">
        <f>_xlfn.XLOOKUP(
    tblLabs[[#This Row],[Code]],
    'LAB PRICES'!$A$2:$A$12,
    'LAB PRICES'!$G$2:$G$12
)</f>
        <v>23</v>
      </c>
    </row>
    <row r="556" spans="1:12" x14ac:dyDescent="0.25">
      <c r="A556" t="s">
        <v>2209</v>
      </c>
      <c r="B556" t="s">
        <v>2210</v>
      </c>
      <c r="C556" s="15">
        <v>12</v>
      </c>
      <c r="D556" s="14" t="s">
        <v>727</v>
      </c>
      <c r="E556" t="s">
        <v>1878</v>
      </c>
      <c r="F556" t="s">
        <v>1889</v>
      </c>
      <c r="G556" s="7">
        <v>45695</v>
      </c>
      <c r="H556" t="s">
        <v>142</v>
      </c>
      <c r="I556" t="s">
        <v>612</v>
      </c>
      <c r="J556" t="s">
        <v>8</v>
      </c>
      <c r="K556">
        <f>INDEX('LAB PRICES'!$C$2:$F$12, MATCH(tblLabs[[#This Row],[Code]], 'LAB PRICES'!$A$2:$A$12, 0), MATCH(tblLabs[[#This Row],[Facility]], 'LAB PRICES'!$C$1:$F$1, 0))</f>
        <v>6</v>
      </c>
      <c r="L556">
        <f>_xlfn.XLOOKUP(
    tblLabs[[#This Row],[Code]],
    'LAB PRICES'!$A$2:$A$12,
    'LAB PRICES'!$G$2:$G$12
)</f>
        <v>23</v>
      </c>
    </row>
    <row r="557" spans="1:12" x14ac:dyDescent="0.25">
      <c r="A557" t="s">
        <v>2209</v>
      </c>
      <c r="B557" t="s">
        <v>2210</v>
      </c>
      <c r="C557" s="15">
        <v>12</v>
      </c>
      <c r="D557" s="14" t="s">
        <v>2500</v>
      </c>
      <c r="E557" t="s">
        <v>1878</v>
      </c>
      <c r="F557" t="s">
        <v>1889</v>
      </c>
      <c r="G557" s="7">
        <v>45695</v>
      </c>
      <c r="H557" t="s">
        <v>71</v>
      </c>
      <c r="I557" t="s">
        <v>2499</v>
      </c>
      <c r="J557" t="s">
        <v>8</v>
      </c>
      <c r="K557">
        <f>INDEX('LAB PRICES'!$C$2:$F$12, MATCH(tblLabs[[#This Row],[Code]], 'LAB PRICES'!$A$2:$A$12, 0), MATCH(tblLabs[[#This Row],[Facility]], 'LAB PRICES'!$C$1:$F$1, 0))</f>
        <v>6</v>
      </c>
      <c r="L557">
        <f>_xlfn.XLOOKUP(
    tblLabs[[#This Row],[Code]],
    'LAB PRICES'!$A$2:$A$12,
    'LAB PRICES'!$G$2:$G$12
)</f>
        <v>23</v>
      </c>
    </row>
    <row r="558" spans="1:12" x14ac:dyDescent="0.25">
      <c r="A558" t="s">
        <v>2209</v>
      </c>
      <c r="B558" t="s">
        <v>2210</v>
      </c>
      <c r="C558" s="15">
        <v>8</v>
      </c>
      <c r="D558" s="14" t="s">
        <v>2502</v>
      </c>
      <c r="E558" t="s">
        <v>1878</v>
      </c>
      <c r="F558" t="s">
        <v>1889</v>
      </c>
      <c r="G558" s="7">
        <v>45695</v>
      </c>
      <c r="H558" t="s">
        <v>71</v>
      </c>
      <c r="I558" t="s">
        <v>2499</v>
      </c>
      <c r="J558" t="s">
        <v>8</v>
      </c>
      <c r="K558">
        <f>INDEX('LAB PRICES'!$C$2:$F$12, MATCH(tblLabs[[#This Row],[Code]], 'LAB PRICES'!$A$2:$A$12, 0), MATCH(tblLabs[[#This Row],[Facility]], 'LAB PRICES'!$C$1:$F$1, 0))</f>
        <v>6</v>
      </c>
      <c r="L558">
        <f>_xlfn.XLOOKUP(
    tblLabs[[#This Row],[Code]],
    'LAB PRICES'!$A$2:$A$12,
    'LAB PRICES'!$G$2:$G$12
)</f>
        <v>23</v>
      </c>
    </row>
    <row r="559" spans="1:12" x14ac:dyDescent="0.25">
      <c r="A559" t="s">
        <v>1624</v>
      </c>
      <c r="B559" t="s">
        <v>1764</v>
      </c>
      <c r="C559" s="15">
        <v>32</v>
      </c>
      <c r="D559" s="14" t="s">
        <v>2577</v>
      </c>
      <c r="E559" t="s">
        <v>61</v>
      </c>
      <c r="F559" t="s">
        <v>1892</v>
      </c>
      <c r="G559" s="7">
        <v>45572</v>
      </c>
      <c r="H559" t="s">
        <v>228</v>
      </c>
      <c r="I559" t="s">
        <v>1918</v>
      </c>
      <c r="J559" t="s">
        <v>26</v>
      </c>
      <c r="K559">
        <f>INDEX('LAB PRICES'!$C$2:$F$12, MATCH(tblLabs[[#This Row],[Code]], 'LAB PRICES'!$A$2:$A$12, 0), MATCH(tblLabs[[#This Row],[Facility]], 'LAB PRICES'!$C$1:$F$1, 0))</f>
        <v>5</v>
      </c>
      <c r="L559">
        <f>_xlfn.XLOOKUP(
    tblLabs[[#This Row],[Code]],
    'LAB PRICES'!$A$2:$A$12,
    'LAB PRICES'!$G$2:$G$12
)</f>
        <v>23</v>
      </c>
    </row>
    <row r="560" spans="1:12" x14ac:dyDescent="0.25">
      <c r="A560" t="s">
        <v>1624</v>
      </c>
      <c r="B560" t="s">
        <v>1764</v>
      </c>
      <c r="C560" s="15">
        <v>35</v>
      </c>
      <c r="D560" s="14" t="s">
        <v>2588</v>
      </c>
      <c r="E560" t="s">
        <v>466</v>
      </c>
      <c r="F560" t="s">
        <v>1893</v>
      </c>
      <c r="G560" s="7">
        <v>45572</v>
      </c>
      <c r="H560" t="s">
        <v>228</v>
      </c>
      <c r="I560" t="s">
        <v>1918</v>
      </c>
      <c r="J560" t="s">
        <v>26</v>
      </c>
      <c r="K560">
        <f>INDEX('LAB PRICES'!$C$2:$F$12, MATCH(tblLabs[[#This Row],[Code]], 'LAB PRICES'!$A$2:$A$12, 0), MATCH(tblLabs[[#This Row],[Facility]], 'LAB PRICES'!$C$1:$F$1, 0))</f>
        <v>9.5</v>
      </c>
      <c r="L560">
        <f>_xlfn.XLOOKUP(
    tblLabs[[#This Row],[Code]],
    'LAB PRICES'!$A$2:$A$12,
    'LAB PRICES'!$G$2:$G$12
)</f>
        <v>40</v>
      </c>
    </row>
    <row r="561" spans="1:12" x14ac:dyDescent="0.25">
      <c r="A561" t="s">
        <v>1624</v>
      </c>
      <c r="B561" t="s">
        <v>1764</v>
      </c>
      <c r="C561" s="15">
        <v>33</v>
      </c>
      <c r="D561" s="14" t="s">
        <v>2599</v>
      </c>
      <c r="E561" t="s">
        <v>467</v>
      </c>
      <c r="F561" t="s">
        <v>1894</v>
      </c>
      <c r="G561" s="7">
        <v>45572</v>
      </c>
      <c r="H561" t="s">
        <v>228</v>
      </c>
      <c r="I561" t="s">
        <v>1918</v>
      </c>
      <c r="J561" t="s">
        <v>26</v>
      </c>
      <c r="K561">
        <f>INDEX('LAB PRICES'!$C$2:$F$12, MATCH(tblLabs[[#This Row],[Code]], 'LAB PRICES'!$A$2:$A$12, 0), MATCH(tblLabs[[#This Row],[Facility]], 'LAB PRICES'!$C$1:$F$1, 0))</f>
        <v>20</v>
      </c>
      <c r="L561">
        <f>_xlfn.XLOOKUP(
    tblLabs[[#This Row],[Code]],
    'LAB PRICES'!$A$2:$A$12,
    'LAB PRICES'!$G$2:$G$12
)</f>
        <v>70</v>
      </c>
    </row>
    <row r="562" spans="1:12" x14ac:dyDescent="0.25">
      <c r="A562" t="s">
        <v>1624</v>
      </c>
      <c r="B562" t="s">
        <v>1764</v>
      </c>
      <c r="C562" s="15">
        <v>4</v>
      </c>
      <c r="D562" s="14" t="s">
        <v>1445</v>
      </c>
      <c r="E562" t="s">
        <v>653</v>
      </c>
      <c r="F562" t="s">
        <v>1900</v>
      </c>
      <c r="G562" s="7">
        <v>45572</v>
      </c>
      <c r="H562" t="s">
        <v>228</v>
      </c>
      <c r="I562" t="s">
        <v>1918</v>
      </c>
      <c r="J562" t="s">
        <v>26</v>
      </c>
      <c r="K562">
        <f>INDEX('LAB PRICES'!$C$2:$F$12, MATCH(tblLabs[[#This Row],[Code]], 'LAB PRICES'!$A$2:$A$12, 0), MATCH(tblLabs[[#This Row],[Facility]], 'LAB PRICES'!$C$1:$F$1, 0))</f>
        <v>5</v>
      </c>
      <c r="L562">
        <f>_xlfn.XLOOKUP(
    tblLabs[[#This Row],[Code]],
    'LAB PRICES'!$A$2:$A$12,
    'LAB PRICES'!$G$2:$G$12
)</f>
        <v>22</v>
      </c>
    </row>
    <row r="563" spans="1:12" x14ac:dyDescent="0.25">
      <c r="A563" t="s">
        <v>1624</v>
      </c>
      <c r="B563" t="s">
        <v>1764</v>
      </c>
      <c r="C563" s="15">
        <v>5</v>
      </c>
      <c r="D563" s="14" t="s">
        <v>1915</v>
      </c>
      <c r="E563" t="s">
        <v>14</v>
      </c>
      <c r="F563" t="s">
        <v>1891</v>
      </c>
      <c r="G563" s="7">
        <v>45613</v>
      </c>
      <c r="H563" t="s">
        <v>71</v>
      </c>
      <c r="I563" t="s">
        <v>1906</v>
      </c>
      <c r="J563" t="s">
        <v>8</v>
      </c>
      <c r="K563">
        <f>INDEX('LAB PRICES'!$C$2:$F$12, MATCH(tblLabs[[#This Row],[Code]], 'LAB PRICES'!$A$2:$A$12, 0), MATCH(tblLabs[[#This Row],[Facility]], 'LAB PRICES'!$C$1:$F$1, 0))</f>
        <v>40</v>
      </c>
      <c r="L563">
        <f>_xlfn.XLOOKUP(
    tblLabs[[#This Row],[Code]],
    'LAB PRICES'!$A$2:$A$12,
    'LAB PRICES'!$G$2:$G$12
)</f>
        <v>100</v>
      </c>
    </row>
    <row r="564" spans="1:12" x14ac:dyDescent="0.25">
      <c r="A564" t="s">
        <v>1624</v>
      </c>
      <c r="B564" t="s">
        <v>1764</v>
      </c>
      <c r="C564" s="15">
        <v>10</v>
      </c>
      <c r="D564" s="14" t="s">
        <v>1483</v>
      </c>
      <c r="E564" t="s">
        <v>1806</v>
      </c>
      <c r="F564" t="s">
        <v>1890</v>
      </c>
      <c r="G564" s="7">
        <v>45618</v>
      </c>
      <c r="H564" t="s">
        <v>142</v>
      </c>
      <c r="I564" t="s">
        <v>1906</v>
      </c>
      <c r="J564" t="s">
        <v>8</v>
      </c>
      <c r="K564">
        <f>INDEX('LAB PRICES'!$C$2:$F$12, MATCH(tblLabs[[#This Row],[Code]], 'LAB PRICES'!$A$2:$A$12, 0), MATCH(tblLabs[[#This Row],[Facility]], 'LAB PRICES'!$C$1:$F$1, 0))</f>
        <v>6</v>
      </c>
      <c r="L564">
        <f>_xlfn.XLOOKUP(
    tblLabs[[#This Row],[Code]],
    'LAB PRICES'!$A$2:$A$12,
    'LAB PRICES'!$G$2:$G$12
)</f>
        <v>27</v>
      </c>
    </row>
    <row r="565" spans="1:12" x14ac:dyDescent="0.25">
      <c r="A565" t="s">
        <v>1624</v>
      </c>
      <c r="B565" t="s">
        <v>1764</v>
      </c>
      <c r="C565" s="15">
        <v>10</v>
      </c>
      <c r="D565" s="14" t="s">
        <v>1491</v>
      </c>
      <c r="E565" t="s">
        <v>1806</v>
      </c>
      <c r="F565" t="s">
        <v>1890</v>
      </c>
      <c r="G565" s="7">
        <v>45619</v>
      </c>
      <c r="H565" t="s">
        <v>142</v>
      </c>
      <c r="I565" t="s">
        <v>1906</v>
      </c>
      <c r="J565" t="s">
        <v>8</v>
      </c>
      <c r="K565">
        <f>INDEX('LAB PRICES'!$C$2:$F$12, MATCH(tblLabs[[#This Row],[Code]], 'LAB PRICES'!$A$2:$A$12, 0), MATCH(tblLabs[[#This Row],[Facility]], 'LAB PRICES'!$C$1:$F$1, 0))</f>
        <v>6</v>
      </c>
      <c r="L565">
        <f>_xlfn.XLOOKUP(
    tblLabs[[#This Row],[Code]],
    'LAB PRICES'!$A$2:$A$12,
    'LAB PRICES'!$G$2:$G$12
)</f>
        <v>27</v>
      </c>
    </row>
    <row r="566" spans="1:12" x14ac:dyDescent="0.25">
      <c r="A566" t="s">
        <v>1624</v>
      </c>
      <c r="B566" t="s">
        <v>1764</v>
      </c>
      <c r="C566" s="15">
        <v>6</v>
      </c>
      <c r="D566" s="14" t="s">
        <v>1492</v>
      </c>
      <c r="E566" t="s">
        <v>1806</v>
      </c>
      <c r="F566" t="s">
        <v>1890</v>
      </c>
      <c r="G566" s="7">
        <v>45619</v>
      </c>
      <c r="H566" t="s">
        <v>142</v>
      </c>
      <c r="I566" t="s">
        <v>1906</v>
      </c>
      <c r="J566" t="s">
        <v>8</v>
      </c>
      <c r="K566">
        <f>INDEX('LAB PRICES'!$C$2:$F$12, MATCH(tblLabs[[#This Row],[Code]], 'LAB PRICES'!$A$2:$A$12, 0), MATCH(tblLabs[[#This Row],[Facility]], 'LAB PRICES'!$C$1:$F$1, 0))</f>
        <v>6</v>
      </c>
      <c r="L566">
        <f>_xlfn.XLOOKUP(
    tblLabs[[#This Row],[Code]],
    'LAB PRICES'!$A$2:$A$12,
    'LAB PRICES'!$G$2:$G$12
)</f>
        <v>27</v>
      </c>
    </row>
    <row r="567" spans="1:12" x14ac:dyDescent="0.25">
      <c r="A567" t="s">
        <v>1624</v>
      </c>
      <c r="B567" t="s">
        <v>1764</v>
      </c>
      <c r="C567" s="15">
        <v>4</v>
      </c>
      <c r="D567" s="14" t="s">
        <v>1488</v>
      </c>
      <c r="E567" t="s">
        <v>1878</v>
      </c>
      <c r="F567" t="s">
        <v>1889</v>
      </c>
      <c r="G567" s="7">
        <v>45618</v>
      </c>
      <c r="H567" t="s">
        <v>142</v>
      </c>
      <c r="I567" t="s">
        <v>1906</v>
      </c>
      <c r="J567" t="s">
        <v>26</v>
      </c>
      <c r="K567">
        <f>INDEX('LAB PRICES'!$C$2:$F$12, MATCH(tblLabs[[#This Row],[Code]], 'LAB PRICES'!$A$2:$A$12, 0), MATCH(tblLabs[[#This Row],[Facility]], 'LAB PRICES'!$C$1:$F$1, 0))</f>
        <v>5</v>
      </c>
      <c r="L567">
        <f>_xlfn.XLOOKUP(
    tblLabs[[#This Row],[Code]],
    'LAB PRICES'!$A$2:$A$12,
    'LAB PRICES'!$G$2:$G$12
)</f>
        <v>23</v>
      </c>
    </row>
    <row r="568" spans="1:12" x14ac:dyDescent="0.25">
      <c r="A568" t="s">
        <v>1624</v>
      </c>
      <c r="B568" t="s">
        <v>1764</v>
      </c>
      <c r="C568" s="15">
        <v>12</v>
      </c>
      <c r="D568" s="14" t="s">
        <v>1910</v>
      </c>
      <c r="E568" t="s">
        <v>1878</v>
      </c>
      <c r="F568" t="s">
        <v>1889</v>
      </c>
      <c r="G568" s="7">
        <v>45610</v>
      </c>
      <c r="H568" t="s">
        <v>71</v>
      </c>
      <c r="I568" t="s">
        <v>1906</v>
      </c>
      <c r="J568" t="s">
        <v>8</v>
      </c>
      <c r="K568">
        <f>INDEX('LAB PRICES'!$C$2:$F$12, MATCH(tblLabs[[#This Row],[Code]], 'LAB PRICES'!$A$2:$A$12, 0), MATCH(tblLabs[[#This Row],[Facility]], 'LAB PRICES'!$C$1:$F$1, 0))</f>
        <v>6</v>
      </c>
      <c r="L568">
        <f>_xlfn.XLOOKUP(
    tblLabs[[#This Row],[Code]],
    'LAB PRICES'!$A$2:$A$12,
    'LAB PRICES'!$G$2:$G$12
)</f>
        <v>23</v>
      </c>
    </row>
    <row r="569" spans="1:12" x14ac:dyDescent="0.25">
      <c r="A569" t="s">
        <v>1624</v>
      </c>
      <c r="B569" t="s">
        <v>1764</v>
      </c>
      <c r="C569" s="15">
        <v>14</v>
      </c>
      <c r="D569" s="14" t="s">
        <v>1911</v>
      </c>
      <c r="E569" t="s">
        <v>1878</v>
      </c>
      <c r="F569" t="s">
        <v>1889</v>
      </c>
      <c r="G569" s="7">
        <v>45611</v>
      </c>
      <c r="H569" t="s">
        <v>71</v>
      </c>
      <c r="I569" t="s">
        <v>1906</v>
      </c>
      <c r="J569" t="s">
        <v>8</v>
      </c>
      <c r="K569">
        <f>INDEX('LAB PRICES'!$C$2:$F$12, MATCH(tblLabs[[#This Row],[Code]], 'LAB PRICES'!$A$2:$A$12, 0), MATCH(tblLabs[[#This Row],[Facility]], 'LAB PRICES'!$C$1:$F$1, 0))</f>
        <v>6</v>
      </c>
      <c r="L569">
        <f>_xlfn.XLOOKUP(
    tblLabs[[#This Row],[Code]],
    'LAB PRICES'!$A$2:$A$12,
    'LAB PRICES'!$G$2:$G$12
)</f>
        <v>23</v>
      </c>
    </row>
    <row r="570" spans="1:12" x14ac:dyDescent="0.25">
      <c r="A570" t="s">
        <v>1624</v>
      </c>
      <c r="B570" t="s">
        <v>1764</v>
      </c>
      <c r="C570" s="15">
        <v>12</v>
      </c>
      <c r="D570" s="14" t="s">
        <v>1912</v>
      </c>
      <c r="E570" t="s">
        <v>1878</v>
      </c>
      <c r="F570" t="s">
        <v>1889</v>
      </c>
      <c r="G570" s="7">
        <v>45611</v>
      </c>
      <c r="H570" t="s">
        <v>71</v>
      </c>
      <c r="I570" t="s">
        <v>1906</v>
      </c>
      <c r="J570" t="s">
        <v>8</v>
      </c>
      <c r="K570">
        <f>INDEX('LAB PRICES'!$C$2:$F$12, MATCH(tblLabs[[#This Row],[Code]], 'LAB PRICES'!$A$2:$A$12, 0), MATCH(tblLabs[[#This Row],[Facility]], 'LAB PRICES'!$C$1:$F$1, 0))</f>
        <v>6</v>
      </c>
      <c r="L570">
        <f>_xlfn.XLOOKUP(
    tblLabs[[#This Row],[Code]],
    'LAB PRICES'!$A$2:$A$12,
    'LAB PRICES'!$G$2:$G$12
)</f>
        <v>23</v>
      </c>
    </row>
    <row r="571" spans="1:12" x14ac:dyDescent="0.25">
      <c r="A571" t="s">
        <v>1624</v>
      </c>
      <c r="B571" t="s">
        <v>1764</v>
      </c>
      <c r="C571" s="15">
        <v>14</v>
      </c>
      <c r="D571" s="14" t="s">
        <v>1913</v>
      </c>
      <c r="E571" t="s">
        <v>1878</v>
      </c>
      <c r="F571" t="s">
        <v>1889</v>
      </c>
      <c r="G571" s="7">
        <v>45612</v>
      </c>
      <c r="H571" t="s">
        <v>71</v>
      </c>
      <c r="I571" t="s">
        <v>1906</v>
      </c>
      <c r="J571" t="s">
        <v>8</v>
      </c>
      <c r="K571">
        <f>INDEX('LAB PRICES'!$C$2:$F$12, MATCH(tblLabs[[#This Row],[Code]], 'LAB PRICES'!$A$2:$A$12, 0), MATCH(tblLabs[[#This Row],[Facility]], 'LAB PRICES'!$C$1:$F$1, 0))</f>
        <v>6</v>
      </c>
      <c r="L571">
        <f>_xlfn.XLOOKUP(
    tblLabs[[#This Row],[Code]],
    'LAB PRICES'!$A$2:$A$12,
    'LAB PRICES'!$G$2:$G$12
)</f>
        <v>23</v>
      </c>
    </row>
    <row r="572" spans="1:12" x14ac:dyDescent="0.25">
      <c r="A572" t="s">
        <v>1624</v>
      </c>
      <c r="B572" t="s">
        <v>1764</v>
      </c>
      <c r="C572" s="15">
        <v>12</v>
      </c>
      <c r="D572" s="14" t="s">
        <v>1914</v>
      </c>
      <c r="E572" t="s">
        <v>237</v>
      </c>
      <c r="F572" t="s">
        <v>1890</v>
      </c>
      <c r="G572" s="7">
        <v>45613</v>
      </c>
      <c r="H572" t="s">
        <v>71</v>
      </c>
      <c r="I572" t="s">
        <v>1906</v>
      </c>
      <c r="J572" t="s">
        <v>8</v>
      </c>
      <c r="K572">
        <f>INDEX('LAB PRICES'!$C$2:$F$12, MATCH(tblLabs[[#This Row],[Code]], 'LAB PRICES'!$A$2:$A$12, 0), MATCH(tblLabs[[#This Row],[Facility]], 'LAB PRICES'!$C$1:$F$1, 0))</f>
        <v>6</v>
      </c>
      <c r="L572">
        <f>_xlfn.XLOOKUP(
    tblLabs[[#This Row],[Code]],
    'LAB PRICES'!$A$2:$A$12,
    'LAB PRICES'!$G$2:$G$12
)</f>
        <v>27</v>
      </c>
    </row>
    <row r="573" spans="1:12" x14ac:dyDescent="0.25">
      <c r="A573" t="s">
        <v>1624</v>
      </c>
      <c r="B573" t="s">
        <v>1764</v>
      </c>
      <c r="C573" s="15">
        <v>8</v>
      </c>
      <c r="D573" s="14" t="s">
        <v>1626</v>
      </c>
      <c r="E573" t="s">
        <v>1878</v>
      </c>
      <c r="F573" t="s">
        <v>1889</v>
      </c>
      <c r="G573" s="7">
        <v>45724</v>
      </c>
      <c r="H573" t="s">
        <v>136</v>
      </c>
      <c r="I573" t="s">
        <v>1916</v>
      </c>
      <c r="J573" t="s">
        <v>26</v>
      </c>
      <c r="K573">
        <f>INDEX('LAB PRICES'!$C$2:$F$12, MATCH(tblLabs[[#This Row],[Code]], 'LAB PRICES'!$A$2:$A$12, 0), MATCH(tblLabs[[#This Row],[Facility]], 'LAB PRICES'!$C$1:$F$1, 0))</f>
        <v>5</v>
      </c>
      <c r="L573">
        <f>_xlfn.XLOOKUP(
    tblLabs[[#This Row],[Code]],
    'LAB PRICES'!$A$2:$A$12,
    'LAB PRICES'!$G$2:$G$12
)</f>
        <v>23</v>
      </c>
    </row>
    <row r="574" spans="1:12" x14ac:dyDescent="0.25">
      <c r="A574" t="s">
        <v>1624</v>
      </c>
      <c r="B574" t="s">
        <v>1764</v>
      </c>
      <c r="C574" s="15">
        <v>8</v>
      </c>
      <c r="D574" s="14" t="s">
        <v>1627</v>
      </c>
      <c r="E574" t="s">
        <v>1878</v>
      </c>
      <c r="F574" t="s">
        <v>1889</v>
      </c>
      <c r="G574" s="7">
        <v>45724</v>
      </c>
      <c r="H574" t="s">
        <v>136</v>
      </c>
      <c r="I574" t="s">
        <v>1916</v>
      </c>
      <c r="J574" t="s">
        <v>26</v>
      </c>
      <c r="K574">
        <f>INDEX('LAB PRICES'!$C$2:$F$12, MATCH(tblLabs[[#This Row],[Code]], 'LAB PRICES'!$A$2:$A$12, 0), MATCH(tblLabs[[#This Row],[Facility]], 'LAB PRICES'!$C$1:$F$1, 0))</f>
        <v>5</v>
      </c>
      <c r="L574">
        <f>_xlfn.XLOOKUP(
    tblLabs[[#This Row],[Code]],
    'LAB PRICES'!$A$2:$A$12,
    'LAB PRICES'!$G$2:$G$12
)</f>
        <v>23</v>
      </c>
    </row>
    <row r="575" spans="1:12" x14ac:dyDescent="0.25">
      <c r="A575" t="s">
        <v>1624</v>
      </c>
      <c r="B575" t="s">
        <v>1764</v>
      </c>
      <c r="C575" s="15">
        <v>12</v>
      </c>
      <c r="D575" s="14" t="s">
        <v>1628</v>
      </c>
      <c r="E575" t="s">
        <v>1878</v>
      </c>
      <c r="F575" t="s">
        <v>1889</v>
      </c>
      <c r="G575" s="7">
        <v>45724</v>
      </c>
      <c r="H575" t="s">
        <v>136</v>
      </c>
      <c r="I575" t="s">
        <v>1916</v>
      </c>
      <c r="J575" t="s">
        <v>26</v>
      </c>
      <c r="K575">
        <f>INDEX('LAB PRICES'!$C$2:$F$12, MATCH(tblLabs[[#This Row],[Code]], 'LAB PRICES'!$A$2:$A$12, 0), MATCH(tblLabs[[#This Row],[Facility]], 'LAB PRICES'!$C$1:$F$1, 0))</f>
        <v>5</v>
      </c>
      <c r="L575">
        <f>_xlfn.XLOOKUP(
    tblLabs[[#This Row],[Code]],
    'LAB PRICES'!$A$2:$A$12,
    'LAB PRICES'!$G$2:$G$12
)</f>
        <v>23</v>
      </c>
    </row>
    <row r="576" spans="1:12" x14ac:dyDescent="0.25">
      <c r="A576" t="s">
        <v>1624</v>
      </c>
      <c r="B576" t="s">
        <v>1764</v>
      </c>
      <c r="C576" s="15">
        <v>1</v>
      </c>
      <c r="D576" s="14" t="s">
        <v>2579</v>
      </c>
      <c r="E576" t="s">
        <v>61</v>
      </c>
      <c r="F576" t="s">
        <v>1892</v>
      </c>
      <c r="G576" s="7">
        <v>45728</v>
      </c>
      <c r="H576" t="s">
        <v>142</v>
      </c>
      <c r="I576" t="s">
        <v>1909</v>
      </c>
      <c r="J576" t="s">
        <v>8</v>
      </c>
      <c r="K576">
        <f>INDEX('LAB PRICES'!$C$2:$F$12, MATCH(tblLabs[[#This Row],[Code]], 'LAB PRICES'!$A$2:$A$12, 0), MATCH(tblLabs[[#This Row],[Facility]], 'LAB PRICES'!$C$1:$F$1, 0))</f>
        <v>16</v>
      </c>
      <c r="L576">
        <f>_xlfn.XLOOKUP(
    tblLabs[[#This Row],[Code]],
    'LAB PRICES'!$A$2:$A$12,
    'LAB PRICES'!$G$2:$G$12
)</f>
        <v>23</v>
      </c>
    </row>
    <row r="577" spans="1:12" x14ac:dyDescent="0.25">
      <c r="A577" t="s">
        <v>1624</v>
      </c>
      <c r="B577" t="s">
        <v>1764</v>
      </c>
      <c r="C577" s="15">
        <v>3</v>
      </c>
      <c r="D577" s="14" t="s">
        <v>2589</v>
      </c>
      <c r="E577" t="s">
        <v>466</v>
      </c>
      <c r="F577" t="s">
        <v>1893</v>
      </c>
      <c r="G577" s="7">
        <v>45728</v>
      </c>
      <c r="H577" t="s">
        <v>142</v>
      </c>
      <c r="I577" t="s">
        <v>1909</v>
      </c>
      <c r="J577" t="s">
        <v>8</v>
      </c>
      <c r="K577">
        <f>INDEX('LAB PRICES'!$C$2:$F$12, MATCH(tblLabs[[#This Row],[Code]], 'LAB PRICES'!$A$2:$A$12, 0), MATCH(tblLabs[[#This Row],[Facility]], 'LAB PRICES'!$C$1:$F$1, 0))</f>
        <v>6</v>
      </c>
      <c r="L577">
        <f>_xlfn.XLOOKUP(
    tblLabs[[#This Row],[Code]],
    'LAB PRICES'!$A$2:$A$12,
    'LAB PRICES'!$G$2:$G$12
)</f>
        <v>40</v>
      </c>
    </row>
    <row r="578" spans="1:12" x14ac:dyDescent="0.25">
      <c r="A578" t="s">
        <v>1624</v>
      </c>
      <c r="B578" t="s">
        <v>1764</v>
      </c>
      <c r="C578" s="15">
        <v>3</v>
      </c>
      <c r="D578" s="14" t="s">
        <v>2600</v>
      </c>
      <c r="E578" t="s">
        <v>467</v>
      </c>
      <c r="F578" t="s">
        <v>1894</v>
      </c>
      <c r="G578" s="7">
        <v>45728</v>
      </c>
      <c r="H578" t="s">
        <v>142</v>
      </c>
      <c r="I578" t="s">
        <v>1909</v>
      </c>
      <c r="J578" t="s">
        <v>8</v>
      </c>
      <c r="K578">
        <f>INDEX('LAB PRICES'!$C$2:$F$12, MATCH(tblLabs[[#This Row],[Code]], 'LAB PRICES'!$A$2:$A$12, 0), MATCH(tblLabs[[#This Row],[Facility]], 'LAB PRICES'!$C$1:$F$1, 0))</f>
        <v>26</v>
      </c>
      <c r="L578">
        <f>_xlfn.XLOOKUP(
    tblLabs[[#This Row],[Code]],
    'LAB PRICES'!$A$2:$A$12,
    'LAB PRICES'!$G$2:$G$12
)</f>
        <v>70</v>
      </c>
    </row>
    <row r="579" spans="1:12" x14ac:dyDescent="0.25">
      <c r="A579" t="s">
        <v>1624</v>
      </c>
      <c r="B579" t="s">
        <v>1764</v>
      </c>
      <c r="C579" s="15">
        <v>12</v>
      </c>
      <c r="D579" s="14" t="s">
        <v>1652</v>
      </c>
      <c r="E579" t="s">
        <v>1878</v>
      </c>
      <c r="F579" t="s">
        <v>1889</v>
      </c>
      <c r="G579" s="7">
        <v>45750</v>
      </c>
      <c r="H579" t="s">
        <v>25</v>
      </c>
      <c r="I579" t="s">
        <v>1917</v>
      </c>
      <c r="J579" t="s">
        <v>26</v>
      </c>
      <c r="K579">
        <f>INDEX('LAB PRICES'!$C$2:$F$12, MATCH(tblLabs[[#This Row],[Code]], 'LAB PRICES'!$A$2:$A$12, 0), MATCH(tblLabs[[#This Row],[Facility]], 'LAB PRICES'!$C$1:$F$1, 0))</f>
        <v>5</v>
      </c>
      <c r="L579">
        <f>_xlfn.XLOOKUP(
    tblLabs[[#This Row],[Code]],
    'LAB PRICES'!$A$2:$A$12,
    'LAB PRICES'!$G$2:$G$12
)</f>
        <v>23</v>
      </c>
    </row>
    <row r="580" spans="1:12" x14ac:dyDescent="0.25">
      <c r="A580" t="s">
        <v>1624</v>
      </c>
      <c r="B580" t="s">
        <v>1764</v>
      </c>
      <c r="C580" s="15">
        <v>9</v>
      </c>
      <c r="D580" s="14" t="s">
        <v>1653</v>
      </c>
      <c r="E580" t="s">
        <v>1878</v>
      </c>
      <c r="F580" t="s">
        <v>1889</v>
      </c>
      <c r="G580" s="7">
        <v>45751</v>
      </c>
      <c r="H580" t="s">
        <v>25</v>
      </c>
      <c r="I580" t="s">
        <v>1917</v>
      </c>
      <c r="J580" t="s">
        <v>26</v>
      </c>
      <c r="K580">
        <f>INDEX('LAB PRICES'!$C$2:$F$12, MATCH(tblLabs[[#This Row],[Code]], 'LAB PRICES'!$A$2:$A$12, 0), MATCH(tblLabs[[#This Row],[Facility]], 'LAB PRICES'!$C$1:$F$1, 0))</f>
        <v>5</v>
      </c>
      <c r="L580">
        <f>_xlfn.XLOOKUP(
    tblLabs[[#This Row],[Code]],
    'LAB PRICES'!$A$2:$A$12,
    'LAB PRICES'!$G$2:$G$12
)</f>
        <v>23</v>
      </c>
    </row>
    <row r="581" spans="1:12" x14ac:dyDescent="0.25">
      <c r="A581" t="s">
        <v>1624</v>
      </c>
      <c r="B581" t="s">
        <v>1764</v>
      </c>
      <c r="C581" s="15">
        <v>12</v>
      </c>
      <c r="D581" s="14" t="s">
        <v>1654</v>
      </c>
      <c r="E581" t="s">
        <v>237</v>
      </c>
      <c r="F581" t="s">
        <v>1890</v>
      </c>
      <c r="G581" s="7">
        <v>45752</v>
      </c>
      <c r="H581" t="s">
        <v>25</v>
      </c>
      <c r="I581" t="s">
        <v>1917</v>
      </c>
      <c r="J581" t="s">
        <v>26</v>
      </c>
      <c r="K581">
        <f>INDEX('LAB PRICES'!$C$2:$F$12, MATCH(tblLabs[[#This Row],[Code]], 'LAB PRICES'!$A$2:$A$12, 0), MATCH(tblLabs[[#This Row],[Facility]], 'LAB PRICES'!$C$1:$F$1, 0))</f>
        <v>5</v>
      </c>
      <c r="L581">
        <f>_xlfn.XLOOKUP(
    tblLabs[[#This Row],[Code]],
    'LAB PRICES'!$A$2:$A$12,
    'LAB PRICES'!$G$2:$G$12
)</f>
        <v>27</v>
      </c>
    </row>
    <row r="582" spans="1:12" x14ac:dyDescent="0.25">
      <c r="A582" t="s">
        <v>1624</v>
      </c>
      <c r="B582" t="s">
        <v>1764</v>
      </c>
      <c r="C582" s="15">
        <v>8</v>
      </c>
      <c r="D582" s="14" t="s">
        <v>1655</v>
      </c>
      <c r="E582" t="s">
        <v>1878</v>
      </c>
      <c r="F582" t="s">
        <v>1889</v>
      </c>
      <c r="G582" s="7">
        <v>45751</v>
      </c>
      <c r="H582" t="s">
        <v>25</v>
      </c>
      <c r="I582" t="s">
        <v>1917</v>
      </c>
      <c r="J582" t="s">
        <v>26</v>
      </c>
      <c r="K582">
        <f>INDEX('LAB PRICES'!$C$2:$F$12, MATCH(tblLabs[[#This Row],[Code]], 'LAB PRICES'!$A$2:$A$12, 0), MATCH(tblLabs[[#This Row],[Facility]], 'LAB PRICES'!$C$1:$F$1, 0))</f>
        <v>5</v>
      </c>
      <c r="L582">
        <f>_xlfn.XLOOKUP(
    tblLabs[[#This Row],[Code]],
    'LAB PRICES'!$A$2:$A$12,
    'LAB PRICES'!$G$2:$G$12
)</f>
        <v>23</v>
      </c>
    </row>
    <row r="583" spans="1:12" x14ac:dyDescent="0.25">
      <c r="A583" t="s">
        <v>1624</v>
      </c>
      <c r="B583" t="s">
        <v>1764</v>
      </c>
      <c r="C583" s="15">
        <v>3</v>
      </c>
      <c r="D583" s="14" t="s">
        <v>1656</v>
      </c>
      <c r="E583" t="s">
        <v>14</v>
      </c>
      <c r="F583" t="s">
        <v>1891</v>
      </c>
      <c r="G583" s="7">
        <v>45752</v>
      </c>
      <c r="H583" t="s">
        <v>25</v>
      </c>
      <c r="J583" t="s">
        <v>26</v>
      </c>
      <c r="K583">
        <f>INDEX('LAB PRICES'!$C$2:$F$12, MATCH(tblLabs[[#This Row],[Code]], 'LAB PRICES'!$A$2:$A$12, 0), MATCH(tblLabs[[#This Row],[Facility]], 'LAB PRICES'!$C$1:$F$1, 0))</f>
        <v>30</v>
      </c>
      <c r="L583">
        <f>_xlfn.XLOOKUP(
    tblLabs[[#This Row],[Code]],
    'LAB PRICES'!$A$2:$A$12,
    'LAB PRICES'!$G$2:$G$12
)</f>
        <v>100</v>
      </c>
    </row>
    <row r="584" spans="1:12" x14ac:dyDescent="0.25">
      <c r="A584" t="s">
        <v>1624</v>
      </c>
      <c r="B584" t="s">
        <v>1764</v>
      </c>
      <c r="C584" s="15">
        <v>12</v>
      </c>
      <c r="D584" s="14" t="s">
        <v>2578</v>
      </c>
      <c r="E584" t="s">
        <v>61</v>
      </c>
      <c r="F584" t="s">
        <v>1892</v>
      </c>
      <c r="G584" s="7">
        <v>45754</v>
      </c>
      <c r="H584" t="s">
        <v>142</v>
      </c>
      <c r="I584" t="s">
        <v>1919</v>
      </c>
      <c r="J584" t="s">
        <v>8</v>
      </c>
      <c r="K584">
        <f>INDEX('LAB PRICES'!$C$2:$F$12, MATCH(tblLabs[[#This Row],[Code]], 'LAB PRICES'!$A$2:$A$12, 0), MATCH(tblLabs[[#This Row],[Facility]], 'LAB PRICES'!$C$1:$F$1, 0))</f>
        <v>16</v>
      </c>
      <c r="L584">
        <f>_xlfn.XLOOKUP(
    tblLabs[[#This Row],[Code]],
    'LAB PRICES'!$A$2:$A$12,
    'LAB PRICES'!$G$2:$G$12
)</f>
        <v>23</v>
      </c>
    </row>
    <row r="585" spans="1:12" x14ac:dyDescent="0.25">
      <c r="A585" t="s">
        <v>1624</v>
      </c>
      <c r="B585" t="s">
        <v>1764</v>
      </c>
      <c r="C585" s="15">
        <v>3</v>
      </c>
      <c r="D585" s="14" t="s">
        <v>2590</v>
      </c>
      <c r="E585" t="s">
        <v>466</v>
      </c>
      <c r="F585" t="s">
        <v>1893</v>
      </c>
      <c r="G585" s="7">
        <v>45754</v>
      </c>
      <c r="H585" t="s">
        <v>142</v>
      </c>
      <c r="I585" t="s">
        <v>1919</v>
      </c>
      <c r="J585" t="s">
        <v>8</v>
      </c>
      <c r="K585">
        <f>INDEX('LAB PRICES'!$C$2:$F$12, MATCH(tblLabs[[#This Row],[Code]], 'LAB PRICES'!$A$2:$A$12, 0), MATCH(tblLabs[[#This Row],[Facility]], 'LAB PRICES'!$C$1:$F$1, 0))</f>
        <v>6</v>
      </c>
      <c r="L585">
        <f>_xlfn.XLOOKUP(
    tblLabs[[#This Row],[Code]],
    'LAB PRICES'!$A$2:$A$12,
    'LAB PRICES'!$G$2:$G$12
)</f>
        <v>40</v>
      </c>
    </row>
    <row r="586" spans="1:12" x14ac:dyDescent="0.25">
      <c r="A586" t="s">
        <v>1624</v>
      </c>
      <c r="B586" t="s">
        <v>1764</v>
      </c>
      <c r="C586" s="15">
        <v>3</v>
      </c>
      <c r="D586" s="14" t="s">
        <v>2601</v>
      </c>
      <c r="E586" t="s">
        <v>467</v>
      </c>
      <c r="F586" t="s">
        <v>1894</v>
      </c>
      <c r="G586" s="7">
        <v>45754</v>
      </c>
      <c r="H586" t="s">
        <v>142</v>
      </c>
      <c r="I586" t="s">
        <v>1919</v>
      </c>
      <c r="J586" t="s">
        <v>8</v>
      </c>
      <c r="K586">
        <f>INDEX('LAB PRICES'!$C$2:$F$12, MATCH(tblLabs[[#This Row],[Code]], 'LAB PRICES'!$A$2:$A$12, 0), MATCH(tblLabs[[#This Row],[Facility]], 'LAB PRICES'!$C$1:$F$1, 0))</f>
        <v>26</v>
      </c>
      <c r="L586">
        <f>_xlfn.XLOOKUP(
    tblLabs[[#This Row],[Code]],
    'LAB PRICES'!$A$2:$A$12,
    'LAB PRICES'!$G$2:$G$12
)</f>
        <v>70</v>
      </c>
    </row>
    <row r="587" spans="1:12" x14ac:dyDescent="0.25">
      <c r="G587"/>
    </row>
    <row r="588" spans="1:12" x14ac:dyDescent="0.25">
      <c r="G588"/>
    </row>
    <row r="589" spans="1:12" x14ac:dyDescent="0.25">
      <c r="G589"/>
    </row>
    <row r="590" spans="1:12" x14ac:dyDescent="0.25">
      <c r="G590"/>
    </row>
    <row r="591" spans="1:12" x14ac:dyDescent="0.25">
      <c r="G591"/>
    </row>
    <row r="592" spans="1:12" x14ac:dyDescent="0.25">
      <c r="G592"/>
    </row>
    <row r="593" spans="7:7" x14ac:dyDescent="0.25">
      <c r="G593"/>
    </row>
    <row r="594" spans="7:7" x14ac:dyDescent="0.25">
      <c r="G594"/>
    </row>
    <row r="595" spans="7:7" x14ac:dyDescent="0.25">
      <c r="G595"/>
    </row>
    <row r="596" spans="7:7" x14ac:dyDescent="0.25">
      <c r="G596"/>
    </row>
    <row r="597" spans="7:7" x14ac:dyDescent="0.25">
      <c r="G597"/>
    </row>
    <row r="598" spans="7:7" x14ac:dyDescent="0.25">
      <c r="G598"/>
    </row>
    <row r="599" spans="7:7" x14ac:dyDescent="0.25">
      <c r="G599"/>
    </row>
    <row r="600" spans="7:7" x14ac:dyDescent="0.25">
      <c r="G600"/>
    </row>
    <row r="601" spans="7:7" x14ac:dyDescent="0.25">
      <c r="G601"/>
    </row>
    <row r="602" spans="7:7" x14ac:dyDescent="0.25">
      <c r="G602"/>
    </row>
    <row r="603" spans="7:7" x14ac:dyDescent="0.25">
      <c r="G603"/>
    </row>
    <row r="604" spans="7:7" x14ac:dyDescent="0.25">
      <c r="G604"/>
    </row>
    <row r="605" spans="7:7" x14ac:dyDescent="0.25">
      <c r="G605"/>
    </row>
    <row r="606" spans="7:7" x14ac:dyDescent="0.25">
      <c r="G606"/>
    </row>
    <row r="607" spans="7:7" x14ac:dyDescent="0.25">
      <c r="G607"/>
    </row>
    <row r="608" spans="7:7" x14ac:dyDescent="0.25">
      <c r="G608"/>
    </row>
    <row r="609" spans="7:7" x14ac:dyDescent="0.25">
      <c r="G609"/>
    </row>
    <row r="610" spans="7:7" x14ac:dyDescent="0.25">
      <c r="G610"/>
    </row>
    <row r="611" spans="7:7" x14ac:dyDescent="0.25">
      <c r="G61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4"/>
  <sheetViews>
    <sheetView topLeftCell="A72" workbookViewId="0">
      <selection activeCell="D85" sqref="D85"/>
    </sheetView>
  </sheetViews>
  <sheetFormatPr defaultRowHeight="15" x14ac:dyDescent="0.25"/>
  <cols>
    <col min="1" max="1" width="18.7109375" customWidth="1"/>
    <col min="2" max="2" width="8" style="3" customWidth="1"/>
    <col min="3" max="3" width="15.5703125" style="4" customWidth="1"/>
    <col min="4" max="4" width="13.42578125" style="1" customWidth="1"/>
    <col min="5" max="5" width="16.5703125" style="1" customWidth="1"/>
    <col min="6" max="6" width="18.140625" style="5" customWidth="1"/>
    <col min="7" max="7" width="9.42578125" style="6" customWidth="1"/>
    <col min="8" max="8" width="8.28515625" style="6" customWidth="1"/>
    <col min="9" max="9" width="11.140625" style="9" customWidth="1"/>
  </cols>
  <sheetData>
    <row r="1" spans="1:12" x14ac:dyDescent="0.25">
      <c r="A1" t="s">
        <v>80</v>
      </c>
      <c r="B1" s="3" t="s">
        <v>81</v>
      </c>
      <c r="C1" s="4" t="s">
        <v>82</v>
      </c>
      <c r="D1" s="1" t="s">
        <v>83</v>
      </c>
      <c r="E1" s="1" t="s">
        <v>84</v>
      </c>
      <c r="F1" s="1" t="s">
        <v>1920</v>
      </c>
      <c r="G1" s="5" t="s">
        <v>85</v>
      </c>
      <c r="H1" s="5" t="s">
        <v>1887</v>
      </c>
      <c r="I1" s="6" t="s">
        <v>51</v>
      </c>
      <c r="J1" s="6" t="s">
        <v>50</v>
      </c>
      <c r="K1" s="4" t="s">
        <v>89</v>
      </c>
      <c r="L1" t="s">
        <v>629</v>
      </c>
    </row>
    <row r="2" spans="1:12" x14ac:dyDescent="0.25">
      <c r="A2" t="s">
        <v>71</v>
      </c>
      <c r="B2" s="3">
        <v>1</v>
      </c>
      <c r="C2" s="4">
        <v>38</v>
      </c>
      <c r="D2" s="1">
        <v>44926</v>
      </c>
      <c r="E2" s="1">
        <v>44913</v>
      </c>
      <c r="F2" s="1"/>
      <c r="G2" s="16">
        <v>15.5</v>
      </c>
      <c r="H2" s="5"/>
      <c r="I2" s="6" t="s">
        <v>95</v>
      </c>
      <c r="J2" s="6" t="s">
        <v>405</v>
      </c>
      <c r="K2" s="4"/>
    </row>
    <row r="3" spans="1:12" x14ac:dyDescent="0.25">
      <c r="A3" t="s">
        <v>71</v>
      </c>
      <c r="B3" s="3">
        <v>1</v>
      </c>
      <c r="C3" s="4">
        <v>38</v>
      </c>
      <c r="D3" s="1">
        <v>44926</v>
      </c>
      <c r="E3" s="1">
        <v>44917</v>
      </c>
      <c r="F3" s="1"/>
      <c r="G3" s="16">
        <v>5</v>
      </c>
      <c r="H3" s="5"/>
      <c r="I3" s="6" t="s">
        <v>95</v>
      </c>
      <c r="J3" s="6" t="s">
        <v>405</v>
      </c>
      <c r="K3" s="4"/>
    </row>
    <row r="4" spans="1:12" x14ac:dyDescent="0.25">
      <c r="A4" t="s">
        <v>71</v>
      </c>
      <c r="B4" s="3">
        <v>1</v>
      </c>
      <c r="C4" s="4">
        <v>38</v>
      </c>
      <c r="D4" s="1">
        <v>44926</v>
      </c>
      <c r="E4" s="1">
        <v>44918</v>
      </c>
      <c r="F4" s="1"/>
      <c r="G4" s="16">
        <v>10</v>
      </c>
      <c r="H4" s="5"/>
      <c r="I4" s="6" t="s">
        <v>406</v>
      </c>
      <c r="J4" s="6" t="s">
        <v>407</v>
      </c>
      <c r="K4" s="4"/>
    </row>
    <row r="5" spans="1:12" x14ac:dyDescent="0.25">
      <c r="A5" t="s">
        <v>71</v>
      </c>
      <c r="B5" s="3">
        <v>1</v>
      </c>
      <c r="C5" s="4">
        <v>38</v>
      </c>
      <c r="D5" s="1">
        <v>44926</v>
      </c>
      <c r="E5" s="1">
        <v>44919</v>
      </c>
      <c r="F5" s="1"/>
      <c r="G5" s="16">
        <v>16.5</v>
      </c>
      <c r="H5" s="5"/>
      <c r="I5" s="6" t="s">
        <v>406</v>
      </c>
      <c r="J5" s="6" t="s">
        <v>407</v>
      </c>
      <c r="K5" s="4"/>
    </row>
    <row r="6" spans="1:12" x14ac:dyDescent="0.25">
      <c r="A6" t="s">
        <v>142</v>
      </c>
      <c r="B6" s="3">
        <v>1</v>
      </c>
      <c r="C6" s="4">
        <v>38</v>
      </c>
      <c r="D6" s="1">
        <v>44926</v>
      </c>
      <c r="E6" s="1">
        <v>44913</v>
      </c>
      <c r="F6" s="1"/>
      <c r="G6" s="16">
        <v>10.5</v>
      </c>
      <c r="H6" s="5"/>
      <c r="I6" s="6" t="s">
        <v>408</v>
      </c>
      <c r="J6" s="6" t="s">
        <v>409</v>
      </c>
      <c r="K6" s="4"/>
    </row>
    <row r="7" spans="1:12" x14ac:dyDescent="0.25">
      <c r="A7" t="s">
        <v>142</v>
      </c>
      <c r="B7" s="3">
        <v>1</v>
      </c>
      <c r="C7" s="4">
        <v>38</v>
      </c>
      <c r="D7" s="1">
        <v>44926</v>
      </c>
      <c r="E7" s="1">
        <v>44916</v>
      </c>
      <c r="F7" s="1"/>
      <c r="G7" s="16">
        <v>4.5</v>
      </c>
      <c r="H7" s="5"/>
      <c r="I7" s="6" t="s">
        <v>410</v>
      </c>
      <c r="J7" s="6" t="s">
        <v>411</v>
      </c>
      <c r="K7" s="4"/>
    </row>
    <row r="8" spans="1:12" x14ac:dyDescent="0.25">
      <c r="A8" t="s">
        <v>142</v>
      </c>
      <c r="B8" s="3">
        <v>1</v>
      </c>
      <c r="C8" s="4">
        <v>38</v>
      </c>
      <c r="D8" s="1">
        <v>44926</v>
      </c>
      <c r="E8" s="1">
        <v>44917</v>
      </c>
      <c r="F8" s="1"/>
      <c r="G8" s="16">
        <v>5.5</v>
      </c>
      <c r="H8" s="5"/>
      <c r="I8" s="6" t="s">
        <v>412</v>
      </c>
      <c r="J8" s="6" t="s">
        <v>413</v>
      </c>
      <c r="K8" s="4"/>
    </row>
    <row r="9" spans="1:12" x14ac:dyDescent="0.25">
      <c r="A9" t="s">
        <v>142</v>
      </c>
      <c r="B9" s="3">
        <v>1</v>
      </c>
      <c r="C9" s="4">
        <v>38</v>
      </c>
      <c r="D9" s="1">
        <v>44926</v>
      </c>
      <c r="E9" s="1">
        <v>44918</v>
      </c>
      <c r="F9" s="1"/>
      <c r="G9" s="16">
        <v>7.5</v>
      </c>
      <c r="H9" s="5"/>
      <c r="I9" s="6" t="s">
        <v>412</v>
      </c>
      <c r="J9" s="6" t="s">
        <v>413</v>
      </c>
      <c r="K9" s="4"/>
    </row>
    <row r="10" spans="1:12" x14ac:dyDescent="0.25">
      <c r="A10" t="s">
        <v>142</v>
      </c>
      <c r="B10" s="3">
        <v>1</v>
      </c>
      <c r="C10" s="4">
        <v>38</v>
      </c>
      <c r="D10" s="1">
        <v>44926</v>
      </c>
      <c r="E10" s="1">
        <v>44919</v>
      </c>
      <c r="F10" s="1"/>
      <c r="G10" s="16">
        <v>12.5</v>
      </c>
      <c r="H10" s="5"/>
      <c r="I10" s="6" t="s">
        <v>412</v>
      </c>
      <c r="J10" s="6" t="s">
        <v>413</v>
      </c>
      <c r="K10" s="4"/>
    </row>
    <row r="11" spans="1:12" x14ac:dyDescent="0.25">
      <c r="A11" t="s">
        <v>91</v>
      </c>
      <c r="B11" s="3">
        <v>1</v>
      </c>
      <c r="C11" s="4">
        <v>38</v>
      </c>
      <c r="D11" s="1">
        <v>44926</v>
      </c>
      <c r="E11" s="1">
        <v>44917</v>
      </c>
      <c r="F11" s="1"/>
      <c r="G11" s="16">
        <v>5</v>
      </c>
      <c r="H11" s="5"/>
      <c r="I11" s="6" t="s">
        <v>114</v>
      </c>
      <c r="J11" s="6" t="s">
        <v>115</v>
      </c>
      <c r="K11" s="4"/>
    </row>
    <row r="12" spans="1:12" x14ac:dyDescent="0.25">
      <c r="A12" t="s">
        <v>91</v>
      </c>
      <c r="B12" s="3">
        <v>1</v>
      </c>
      <c r="C12" s="4">
        <v>38</v>
      </c>
      <c r="D12" s="1">
        <v>44926</v>
      </c>
      <c r="E12" s="1">
        <v>44918</v>
      </c>
      <c r="F12" s="1"/>
      <c r="G12" s="16">
        <v>6.5</v>
      </c>
      <c r="H12" s="5"/>
      <c r="I12" s="6" t="s">
        <v>114</v>
      </c>
      <c r="J12" s="6" t="s">
        <v>411</v>
      </c>
      <c r="K12" s="4"/>
    </row>
    <row r="13" spans="1:12" x14ac:dyDescent="0.25">
      <c r="A13" t="s">
        <v>91</v>
      </c>
      <c r="B13" s="3">
        <v>1</v>
      </c>
      <c r="C13" s="4">
        <v>38</v>
      </c>
      <c r="D13" s="1">
        <v>44926</v>
      </c>
      <c r="E13" s="1">
        <v>44919</v>
      </c>
      <c r="F13" s="1"/>
      <c r="G13" s="16">
        <v>21</v>
      </c>
      <c r="H13" s="5"/>
      <c r="I13" s="6" t="s">
        <v>114</v>
      </c>
      <c r="J13" s="6" t="s">
        <v>411</v>
      </c>
      <c r="K13" s="4"/>
    </row>
    <row r="14" spans="1:12" x14ac:dyDescent="0.25">
      <c r="A14" t="s">
        <v>88</v>
      </c>
      <c r="B14" s="3">
        <v>0</v>
      </c>
      <c r="C14" s="4">
        <v>28</v>
      </c>
      <c r="D14" s="1">
        <v>44926</v>
      </c>
      <c r="E14" s="1">
        <v>44910</v>
      </c>
      <c r="F14" s="1"/>
      <c r="G14" s="16">
        <v>8</v>
      </c>
      <c r="H14" s="5"/>
      <c r="I14" s="6" t="s">
        <v>90</v>
      </c>
      <c r="J14" s="6"/>
      <c r="K14" s="4"/>
    </row>
    <row r="15" spans="1:12" x14ac:dyDescent="0.25">
      <c r="A15" t="s">
        <v>88</v>
      </c>
      <c r="B15" s="3">
        <v>0</v>
      </c>
      <c r="C15" s="4">
        <v>28</v>
      </c>
      <c r="D15" s="1">
        <v>44926</v>
      </c>
      <c r="E15" s="1">
        <v>44911</v>
      </c>
      <c r="F15" s="1"/>
      <c r="G15" s="16">
        <v>8</v>
      </c>
      <c r="H15" s="5"/>
      <c r="I15" s="6" t="s">
        <v>90</v>
      </c>
      <c r="J15" s="6"/>
      <c r="K15" s="4"/>
    </row>
    <row r="16" spans="1:12" x14ac:dyDescent="0.25">
      <c r="A16" t="s">
        <v>88</v>
      </c>
      <c r="B16" s="3">
        <v>0</v>
      </c>
      <c r="C16" s="4">
        <v>28</v>
      </c>
      <c r="D16" s="1">
        <v>44926</v>
      </c>
      <c r="E16" s="1">
        <v>44913</v>
      </c>
      <c r="F16" s="1"/>
      <c r="G16" s="16">
        <v>0</v>
      </c>
      <c r="H16" s="5"/>
      <c r="I16" s="6" t="s">
        <v>90</v>
      </c>
      <c r="J16" s="6"/>
      <c r="K16" s="4"/>
    </row>
    <row r="17" spans="1:11" x14ac:dyDescent="0.25">
      <c r="A17" t="s">
        <v>88</v>
      </c>
      <c r="B17" s="3">
        <v>0</v>
      </c>
      <c r="C17" s="4">
        <v>28</v>
      </c>
      <c r="D17" s="1">
        <v>44926</v>
      </c>
      <c r="E17" s="1">
        <v>44914</v>
      </c>
      <c r="F17" s="1"/>
      <c r="G17" s="16">
        <v>7</v>
      </c>
      <c r="H17" s="5"/>
      <c r="I17" s="6" t="s">
        <v>90</v>
      </c>
      <c r="J17" s="6"/>
      <c r="K17" s="4"/>
    </row>
    <row r="18" spans="1:11" x14ac:dyDescent="0.25">
      <c r="A18" t="s">
        <v>88</v>
      </c>
      <c r="B18" s="3">
        <v>0</v>
      </c>
      <c r="C18" s="4">
        <v>28</v>
      </c>
      <c r="D18" s="1">
        <v>44926</v>
      </c>
      <c r="E18" s="1">
        <v>44915</v>
      </c>
      <c r="F18" s="1"/>
      <c r="G18" s="16">
        <v>7</v>
      </c>
      <c r="H18" s="5"/>
      <c r="I18" s="6" t="s">
        <v>90</v>
      </c>
      <c r="J18" s="6"/>
      <c r="K18" s="4"/>
    </row>
    <row r="19" spans="1:11" x14ac:dyDescent="0.25">
      <c r="A19" t="s">
        <v>88</v>
      </c>
      <c r="B19" s="3">
        <v>0</v>
      </c>
      <c r="C19" s="4">
        <v>28</v>
      </c>
      <c r="D19" s="1">
        <v>44926</v>
      </c>
      <c r="E19" s="1">
        <v>44916</v>
      </c>
      <c r="F19" s="1"/>
      <c r="G19" s="16">
        <v>7</v>
      </c>
      <c r="H19" s="5"/>
      <c r="I19" s="6" t="s">
        <v>90</v>
      </c>
      <c r="J19" s="6"/>
      <c r="K19" s="4"/>
    </row>
    <row r="20" spans="1:11" x14ac:dyDescent="0.25">
      <c r="A20" t="s">
        <v>88</v>
      </c>
      <c r="B20" s="3">
        <v>0</v>
      </c>
      <c r="C20" s="4">
        <v>28</v>
      </c>
      <c r="D20" s="1">
        <v>44926</v>
      </c>
      <c r="E20" s="1">
        <v>44917</v>
      </c>
      <c r="F20" s="1"/>
      <c r="G20" s="16">
        <v>7</v>
      </c>
      <c r="H20" s="5"/>
      <c r="I20" s="6" t="s">
        <v>90</v>
      </c>
      <c r="J20" s="6"/>
      <c r="K20" s="4"/>
    </row>
    <row r="21" spans="1:11" x14ac:dyDescent="0.25">
      <c r="A21" t="s">
        <v>88</v>
      </c>
      <c r="B21" s="3">
        <v>0</v>
      </c>
      <c r="C21" s="4">
        <v>28</v>
      </c>
      <c r="D21" s="1">
        <v>44926</v>
      </c>
      <c r="E21" s="1">
        <v>44918</v>
      </c>
      <c r="F21" s="1"/>
      <c r="G21" s="16">
        <v>7</v>
      </c>
      <c r="H21" s="5"/>
      <c r="I21" s="6" t="s">
        <v>90</v>
      </c>
      <c r="J21" s="6"/>
      <c r="K21" s="4"/>
    </row>
    <row r="22" spans="1:11" x14ac:dyDescent="0.25">
      <c r="A22" t="s">
        <v>88</v>
      </c>
      <c r="B22" s="3">
        <v>0</v>
      </c>
      <c r="C22" s="4">
        <v>28</v>
      </c>
      <c r="D22" s="1">
        <v>44926</v>
      </c>
      <c r="E22" s="1">
        <v>44919</v>
      </c>
      <c r="F22" s="1"/>
      <c r="G22" s="16">
        <v>0</v>
      </c>
      <c r="H22" s="5"/>
      <c r="I22" s="6" t="s">
        <v>90</v>
      </c>
      <c r="J22" s="6"/>
      <c r="K22" s="4"/>
    </row>
    <row r="23" spans="1:11" x14ac:dyDescent="0.25">
      <c r="A23" t="s">
        <v>414</v>
      </c>
      <c r="B23" s="3">
        <v>1</v>
      </c>
      <c r="C23" s="4">
        <v>38</v>
      </c>
      <c r="D23" s="1">
        <v>44926</v>
      </c>
      <c r="E23" s="1">
        <v>44918</v>
      </c>
      <c r="F23" s="1"/>
      <c r="G23" s="16">
        <v>6.5</v>
      </c>
      <c r="H23" s="5"/>
      <c r="I23" s="6" t="s">
        <v>415</v>
      </c>
      <c r="J23" s="6" t="s">
        <v>407</v>
      </c>
      <c r="K23" s="4"/>
    </row>
    <row r="24" spans="1:11" x14ac:dyDescent="0.25">
      <c r="A24" t="s">
        <v>414</v>
      </c>
      <c r="B24" s="3">
        <v>1</v>
      </c>
      <c r="C24" s="4">
        <v>38</v>
      </c>
      <c r="D24" s="1">
        <v>44926</v>
      </c>
      <c r="E24" s="1">
        <v>44919</v>
      </c>
      <c r="F24" s="1"/>
      <c r="G24" s="16">
        <v>17</v>
      </c>
      <c r="H24" s="5"/>
      <c r="I24" s="6" t="s">
        <v>415</v>
      </c>
      <c r="J24" s="6" t="s">
        <v>407</v>
      </c>
      <c r="K24" s="4"/>
    </row>
    <row r="25" spans="1:11" x14ac:dyDescent="0.25">
      <c r="A25" t="s">
        <v>136</v>
      </c>
      <c r="B25" s="3">
        <v>1</v>
      </c>
      <c r="C25" s="4">
        <v>33</v>
      </c>
      <c r="D25" s="1">
        <v>44926</v>
      </c>
      <c r="E25" s="1">
        <v>44875</v>
      </c>
      <c r="F25" s="1"/>
      <c r="G25" s="16">
        <v>5.5</v>
      </c>
      <c r="H25" s="5"/>
      <c r="I25" s="6" t="s">
        <v>416</v>
      </c>
      <c r="J25" s="6" t="s">
        <v>417</v>
      </c>
      <c r="K25" s="4"/>
    </row>
    <row r="26" spans="1:11" x14ac:dyDescent="0.25">
      <c r="A26" t="s">
        <v>136</v>
      </c>
      <c r="B26" s="3">
        <v>1</v>
      </c>
      <c r="C26" s="4">
        <v>33</v>
      </c>
      <c r="D26" s="1">
        <v>44926</v>
      </c>
      <c r="E26" s="1">
        <v>44876</v>
      </c>
      <c r="F26" s="1"/>
      <c r="G26" s="16">
        <v>6.5</v>
      </c>
      <c r="H26" s="5"/>
      <c r="I26" s="6" t="s">
        <v>416</v>
      </c>
      <c r="J26" s="6" t="s">
        <v>417</v>
      </c>
      <c r="K26" s="4"/>
    </row>
    <row r="27" spans="1:11" x14ac:dyDescent="0.25">
      <c r="A27" t="s">
        <v>71</v>
      </c>
      <c r="B27" s="3">
        <v>1</v>
      </c>
      <c r="C27" s="4">
        <v>38</v>
      </c>
      <c r="D27" s="1">
        <v>44933</v>
      </c>
      <c r="E27" s="1">
        <v>44921</v>
      </c>
      <c r="F27" s="1"/>
      <c r="G27" s="16">
        <v>7</v>
      </c>
      <c r="H27" s="5"/>
      <c r="I27" s="6" t="s">
        <v>418</v>
      </c>
      <c r="J27" s="6" t="s">
        <v>405</v>
      </c>
      <c r="K27" s="4"/>
    </row>
    <row r="28" spans="1:11" x14ac:dyDescent="0.25">
      <c r="A28" t="s">
        <v>71</v>
      </c>
      <c r="B28" s="3">
        <v>1</v>
      </c>
      <c r="C28" s="4">
        <v>38</v>
      </c>
      <c r="D28" s="1">
        <v>44933</v>
      </c>
      <c r="E28" s="1">
        <v>44922</v>
      </c>
      <c r="F28" s="1"/>
      <c r="G28" s="16">
        <v>24</v>
      </c>
      <c r="H28" s="5"/>
      <c r="I28" s="6" t="s">
        <v>418</v>
      </c>
      <c r="J28" s="6" t="s">
        <v>405</v>
      </c>
      <c r="K28" s="4"/>
    </row>
    <row r="29" spans="1:11" x14ac:dyDescent="0.25">
      <c r="A29" t="s">
        <v>71</v>
      </c>
      <c r="B29" s="3">
        <v>1</v>
      </c>
      <c r="C29" s="4">
        <v>38</v>
      </c>
      <c r="D29" s="1">
        <v>44933</v>
      </c>
      <c r="E29" s="1">
        <v>44923</v>
      </c>
      <c r="F29" s="1"/>
      <c r="G29" s="16">
        <v>19</v>
      </c>
      <c r="H29" s="5"/>
      <c r="I29" s="6" t="s">
        <v>418</v>
      </c>
      <c r="J29" s="6" t="s">
        <v>405</v>
      </c>
      <c r="K29" s="4"/>
    </row>
    <row r="30" spans="1:11" x14ac:dyDescent="0.25">
      <c r="A30" t="s">
        <v>71</v>
      </c>
      <c r="B30" s="3">
        <v>1</v>
      </c>
      <c r="C30" s="4">
        <v>38</v>
      </c>
      <c r="D30" s="1">
        <v>44933</v>
      </c>
      <c r="E30" s="1">
        <v>44924</v>
      </c>
      <c r="F30" s="1"/>
      <c r="G30" s="16">
        <v>15.5</v>
      </c>
      <c r="H30" s="5"/>
      <c r="I30" s="6" t="s">
        <v>418</v>
      </c>
      <c r="J30" s="6" t="s">
        <v>405</v>
      </c>
      <c r="K30" s="4"/>
    </row>
    <row r="31" spans="1:11" x14ac:dyDescent="0.25">
      <c r="A31" t="s">
        <v>71</v>
      </c>
      <c r="B31" s="3">
        <v>1</v>
      </c>
      <c r="C31" s="4">
        <v>38</v>
      </c>
      <c r="D31" s="1">
        <v>44933</v>
      </c>
      <c r="E31" s="1">
        <v>44925</v>
      </c>
      <c r="F31" s="1"/>
      <c r="G31" s="16">
        <v>9</v>
      </c>
      <c r="H31" s="5"/>
      <c r="I31" s="6" t="s">
        <v>418</v>
      </c>
      <c r="J31" s="6" t="s">
        <v>405</v>
      </c>
      <c r="K31" s="4"/>
    </row>
    <row r="32" spans="1:11" x14ac:dyDescent="0.25">
      <c r="A32" t="s">
        <v>71</v>
      </c>
      <c r="B32" s="3">
        <v>1</v>
      </c>
      <c r="C32" s="4">
        <v>38</v>
      </c>
      <c r="D32" s="1">
        <v>44933</v>
      </c>
      <c r="E32" s="1">
        <v>44925</v>
      </c>
      <c r="F32" s="1"/>
      <c r="G32" s="16">
        <v>9.5</v>
      </c>
      <c r="H32" s="5"/>
      <c r="I32" s="6" t="s">
        <v>419</v>
      </c>
      <c r="J32" s="6" t="s">
        <v>409</v>
      </c>
      <c r="K32" s="4"/>
    </row>
    <row r="33" spans="1:11" x14ac:dyDescent="0.25">
      <c r="A33" t="s">
        <v>71</v>
      </c>
      <c r="B33" s="3">
        <v>1</v>
      </c>
      <c r="C33" s="4">
        <v>38</v>
      </c>
      <c r="D33" s="1">
        <v>44933</v>
      </c>
      <c r="E33" s="1">
        <v>44926</v>
      </c>
      <c r="F33" s="1"/>
      <c r="G33" s="16">
        <v>17</v>
      </c>
      <c r="H33" s="5"/>
      <c r="I33" s="6" t="s">
        <v>419</v>
      </c>
      <c r="J33" s="6" t="s">
        <v>409</v>
      </c>
      <c r="K33" s="4"/>
    </row>
    <row r="34" spans="1:11" x14ac:dyDescent="0.25">
      <c r="A34" t="s">
        <v>142</v>
      </c>
      <c r="B34" s="3">
        <v>1</v>
      </c>
      <c r="C34" s="4">
        <v>38</v>
      </c>
      <c r="D34" s="1">
        <v>44933</v>
      </c>
      <c r="E34" s="1">
        <v>44922</v>
      </c>
      <c r="F34" s="1"/>
      <c r="G34" s="16">
        <v>16.5</v>
      </c>
      <c r="H34" s="5"/>
      <c r="I34" s="6" t="s">
        <v>412</v>
      </c>
      <c r="J34" s="6" t="s">
        <v>413</v>
      </c>
      <c r="K34" s="4"/>
    </row>
    <row r="35" spans="1:11" x14ac:dyDescent="0.25">
      <c r="A35" t="s">
        <v>142</v>
      </c>
      <c r="B35" s="3">
        <v>1</v>
      </c>
      <c r="C35" s="4">
        <v>38</v>
      </c>
      <c r="D35" s="1">
        <v>44933</v>
      </c>
      <c r="E35" s="1">
        <v>44923</v>
      </c>
      <c r="F35" s="1"/>
      <c r="G35" s="16">
        <v>15.5</v>
      </c>
      <c r="H35" s="5"/>
      <c r="I35" s="6" t="s">
        <v>412</v>
      </c>
      <c r="J35" s="6" t="s">
        <v>413</v>
      </c>
      <c r="K35" s="4"/>
    </row>
    <row r="36" spans="1:11" x14ac:dyDescent="0.25">
      <c r="A36" t="s">
        <v>142</v>
      </c>
      <c r="B36" s="3">
        <v>1</v>
      </c>
      <c r="C36" s="4">
        <v>38</v>
      </c>
      <c r="D36" s="1">
        <v>44933</v>
      </c>
      <c r="E36" s="1">
        <v>44923</v>
      </c>
      <c r="F36" s="1"/>
      <c r="G36" s="16">
        <v>8</v>
      </c>
      <c r="H36" s="5"/>
      <c r="I36" s="6" t="s">
        <v>410</v>
      </c>
      <c r="J36" s="6" t="s">
        <v>411</v>
      </c>
      <c r="K36" s="4"/>
    </row>
    <row r="37" spans="1:11" x14ac:dyDescent="0.25">
      <c r="A37" t="s">
        <v>142</v>
      </c>
      <c r="B37" s="3">
        <v>1</v>
      </c>
      <c r="C37" s="4">
        <v>38</v>
      </c>
      <c r="D37" s="1">
        <v>44933</v>
      </c>
      <c r="E37" s="1">
        <v>44924</v>
      </c>
      <c r="F37" s="1"/>
      <c r="G37" s="16">
        <v>13</v>
      </c>
      <c r="H37" s="5"/>
      <c r="I37" s="6" t="s">
        <v>410</v>
      </c>
      <c r="J37" s="6" t="s">
        <v>411</v>
      </c>
      <c r="K37" s="4"/>
    </row>
    <row r="38" spans="1:11" x14ac:dyDescent="0.25">
      <c r="A38" t="s">
        <v>142</v>
      </c>
      <c r="B38" s="3">
        <v>1</v>
      </c>
      <c r="C38" s="4">
        <v>38</v>
      </c>
      <c r="D38" s="1">
        <v>44933</v>
      </c>
      <c r="E38" s="1">
        <v>44924</v>
      </c>
      <c r="F38" s="1"/>
      <c r="G38" s="16">
        <v>8</v>
      </c>
      <c r="H38" s="5"/>
      <c r="I38" s="6" t="s">
        <v>420</v>
      </c>
      <c r="J38" s="6" t="s">
        <v>421</v>
      </c>
      <c r="K38" s="4"/>
    </row>
    <row r="39" spans="1:11" x14ac:dyDescent="0.25">
      <c r="A39" t="s">
        <v>142</v>
      </c>
      <c r="B39" s="3">
        <v>1</v>
      </c>
      <c r="C39" s="4">
        <v>38</v>
      </c>
      <c r="D39" s="1">
        <v>44933</v>
      </c>
      <c r="E39" s="1">
        <v>44925</v>
      </c>
      <c r="F39" s="1"/>
      <c r="G39" s="16">
        <v>20</v>
      </c>
      <c r="H39" s="5"/>
      <c r="I39" s="6" t="s">
        <v>420</v>
      </c>
      <c r="J39" s="6" t="s">
        <v>421</v>
      </c>
      <c r="K39" s="4"/>
    </row>
    <row r="40" spans="1:11" x14ac:dyDescent="0.25">
      <c r="A40" t="s">
        <v>142</v>
      </c>
      <c r="B40" s="3">
        <v>7</v>
      </c>
      <c r="C40" s="4">
        <v>45</v>
      </c>
      <c r="D40" s="1">
        <v>44933</v>
      </c>
      <c r="E40" s="1">
        <v>44926</v>
      </c>
      <c r="F40" s="1"/>
      <c r="G40" s="16">
        <v>7</v>
      </c>
      <c r="H40" s="5"/>
      <c r="I40" s="6" t="s">
        <v>419</v>
      </c>
      <c r="J40" s="6" t="s">
        <v>409</v>
      </c>
      <c r="K40" s="4"/>
    </row>
    <row r="41" spans="1:11" x14ac:dyDescent="0.25">
      <c r="A41" t="s">
        <v>91</v>
      </c>
      <c r="B41" s="3">
        <v>1</v>
      </c>
      <c r="C41" s="4">
        <v>38</v>
      </c>
      <c r="D41" s="1">
        <v>44933</v>
      </c>
      <c r="E41" s="1">
        <v>44922</v>
      </c>
      <c r="F41" s="1"/>
      <c r="G41" s="16">
        <v>11.5</v>
      </c>
      <c r="H41" s="5"/>
      <c r="I41" s="6" t="s">
        <v>114</v>
      </c>
      <c r="J41" s="6" t="s">
        <v>115</v>
      </c>
      <c r="K41" s="4"/>
    </row>
    <row r="42" spans="1:11" x14ac:dyDescent="0.25">
      <c r="A42" t="s">
        <v>91</v>
      </c>
      <c r="B42" s="3">
        <v>1</v>
      </c>
      <c r="C42" s="4">
        <v>38</v>
      </c>
      <c r="D42" s="1">
        <v>44933</v>
      </c>
      <c r="E42" s="1">
        <v>44923</v>
      </c>
      <c r="F42" s="1"/>
      <c r="G42" s="16">
        <v>13</v>
      </c>
      <c r="H42" s="5"/>
      <c r="I42" s="6" t="s">
        <v>114</v>
      </c>
      <c r="J42" s="6" t="s">
        <v>115</v>
      </c>
      <c r="K42" s="4"/>
    </row>
    <row r="43" spans="1:11" x14ac:dyDescent="0.25">
      <c r="A43" t="s">
        <v>91</v>
      </c>
      <c r="B43" s="3">
        <v>1</v>
      </c>
      <c r="C43" s="4">
        <v>38</v>
      </c>
      <c r="D43" s="1">
        <v>44933</v>
      </c>
      <c r="E43" s="1">
        <v>44924</v>
      </c>
      <c r="F43" s="1"/>
      <c r="G43" s="16">
        <v>17</v>
      </c>
      <c r="H43" s="5"/>
      <c r="I43" s="6" t="s">
        <v>114</v>
      </c>
      <c r="J43" s="6" t="s">
        <v>115</v>
      </c>
      <c r="K43" s="4"/>
    </row>
    <row r="44" spans="1:11" x14ac:dyDescent="0.25">
      <c r="A44" t="s">
        <v>91</v>
      </c>
      <c r="B44" s="3">
        <v>1</v>
      </c>
      <c r="C44" s="4">
        <v>38</v>
      </c>
      <c r="D44" s="1">
        <v>44933</v>
      </c>
      <c r="E44" s="1">
        <v>44925</v>
      </c>
      <c r="F44" s="1"/>
      <c r="G44" s="16">
        <v>9</v>
      </c>
      <c r="H44" s="5"/>
      <c r="I44" s="6" t="s">
        <v>114</v>
      </c>
      <c r="J44" s="6" t="s">
        <v>115</v>
      </c>
      <c r="K44" s="4"/>
    </row>
    <row r="45" spans="1:11" x14ac:dyDescent="0.25">
      <c r="A45" t="s">
        <v>88</v>
      </c>
      <c r="B45" s="3">
        <v>0</v>
      </c>
      <c r="C45" s="4">
        <v>28</v>
      </c>
      <c r="D45" s="1">
        <v>44933</v>
      </c>
      <c r="E45" s="1">
        <v>44920</v>
      </c>
      <c r="F45" s="1"/>
      <c r="G45" s="16">
        <v>0</v>
      </c>
      <c r="H45" s="5"/>
      <c r="I45" s="6" t="s">
        <v>90</v>
      </c>
      <c r="J45" s="6"/>
      <c r="K45" s="4"/>
    </row>
    <row r="46" spans="1:11" x14ac:dyDescent="0.25">
      <c r="A46" t="s">
        <v>88</v>
      </c>
      <c r="B46" s="3">
        <v>0</v>
      </c>
      <c r="C46" s="4">
        <v>28</v>
      </c>
      <c r="D46" s="1">
        <v>44933</v>
      </c>
      <c r="E46" s="1">
        <v>44921</v>
      </c>
      <c r="F46" s="1"/>
      <c r="G46" s="16">
        <v>7</v>
      </c>
      <c r="H46" s="5"/>
      <c r="I46" s="6" t="s">
        <v>90</v>
      </c>
      <c r="J46" s="6"/>
      <c r="K46" s="4"/>
    </row>
    <row r="47" spans="1:11" x14ac:dyDescent="0.25">
      <c r="A47" t="s">
        <v>88</v>
      </c>
      <c r="B47" s="3">
        <v>0</v>
      </c>
      <c r="C47" s="4">
        <v>28</v>
      </c>
      <c r="D47" s="1">
        <v>44933</v>
      </c>
      <c r="E47" s="1">
        <v>44922</v>
      </c>
      <c r="F47" s="1"/>
      <c r="G47" s="16">
        <v>7</v>
      </c>
      <c r="H47" s="5"/>
      <c r="I47" s="6" t="s">
        <v>90</v>
      </c>
      <c r="J47" s="6"/>
      <c r="K47" s="4"/>
    </row>
    <row r="48" spans="1:11" x14ac:dyDescent="0.25">
      <c r="A48" t="s">
        <v>88</v>
      </c>
      <c r="B48" s="3">
        <v>0</v>
      </c>
      <c r="C48" s="4">
        <v>28</v>
      </c>
      <c r="D48" s="1">
        <v>44933</v>
      </c>
      <c r="E48" s="1">
        <v>44923</v>
      </c>
      <c r="F48" s="1"/>
      <c r="G48" s="16">
        <v>7</v>
      </c>
      <c r="H48" s="5"/>
      <c r="I48" s="6" t="s">
        <v>90</v>
      </c>
      <c r="J48" s="6"/>
      <c r="K48" s="4"/>
    </row>
    <row r="49" spans="1:11" x14ac:dyDescent="0.25">
      <c r="A49" t="s">
        <v>88</v>
      </c>
      <c r="B49" s="3">
        <v>0</v>
      </c>
      <c r="C49" s="4">
        <v>28</v>
      </c>
      <c r="D49" s="1">
        <v>44933</v>
      </c>
      <c r="E49" s="1">
        <v>44924</v>
      </c>
      <c r="F49" s="1"/>
      <c r="G49" s="16">
        <v>7</v>
      </c>
      <c r="H49" s="5"/>
      <c r="I49" s="6" t="s">
        <v>90</v>
      </c>
      <c r="J49" s="6"/>
      <c r="K49" s="4"/>
    </row>
    <row r="50" spans="1:11" x14ac:dyDescent="0.25">
      <c r="A50" t="s">
        <v>88</v>
      </c>
      <c r="B50" s="3">
        <v>0</v>
      </c>
      <c r="C50" s="4">
        <v>28</v>
      </c>
      <c r="D50" s="1">
        <v>44933</v>
      </c>
      <c r="E50" s="1">
        <v>44925</v>
      </c>
      <c r="F50" s="1"/>
      <c r="G50" s="16">
        <v>7</v>
      </c>
      <c r="H50" s="5"/>
      <c r="I50" s="6" t="s">
        <v>90</v>
      </c>
      <c r="J50" s="6"/>
      <c r="K50" s="4"/>
    </row>
    <row r="51" spans="1:11" x14ac:dyDescent="0.25">
      <c r="A51" t="s">
        <v>88</v>
      </c>
      <c r="B51" s="3">
        <v>0</v>
      </c>
      <c r="C51" s="4">
        <v>28</v>
      </c>
      <c r="D51" s="1">
        <v>44933</v>
      </c>
      <c r="E51" s="1">
        <v>44926</v>
      </c>
      <c r="F51" s="1"/>
      <c r="G51" s="16">
        <v>0</v>
      </c>
      <c r="H51" s="5"/>
      <c r="I51" s="6" t="s">
        <v>90</v>
      </c>
      <c r="J51" s="6"/>
      <c r="K51" s="4"/>
    </row>
    <row r="52" spans="1:11" x14ac:dyDescent="0.25">
      <c r="A52" t="s">
        <v>71</v>
      </c>
      <c r="B52" s="3">
        <v>1</v>
      </c>
      <c r="C52" s="4">
        <v>38</v>
      </c>
      <c r="D52" s="1">
        <v>44940</v>
      </c>
      <c r="E52" s="1">
        <v>44931</v>
      </c>
      <c r="F52" s="1"/>
      <c r="G52" s="16">
        <v>4.5</v>
      </c>
      <c r="H52" s="5"/>
      <c r="I52" s="6" t="s">
        <v>422</v>
      </c>
      <c r="J52" s="6" t="s">
        <v>423</v>
      </c>
      <c r="K52" s="4"/>
    </row>
    <row r="53" spans="1:11" x14ac:dyDescent="0.25">
      <c r="A53" t="s">
        <v>71</v>
      </c>
      <c r="B53" s="3">
        <v>1</v>
      </c>
      <c r="C53" s="4">
        <v>38</v>
      </c>
      <c r="D53" s="1">
        <v>44940</v>
      </c>
      <c r="E53" s="1">
        <v>44932</v>
      </c>
      <c r="F53" s="1"/>
      <c r="G53" s="16">
        <v>6.5</v>
      </c>
      <c r="H53" s="5"/>
      <c r="I53" s="6" t="s">
        <v>422</v>
      </c>
      <c r="J53" s="6" t="s">
        <v>423</v>
      </c>
      <c r="K53" s="4"/>
    </row>
    <row r="54" spans="1:11" x14ac:dyDescent="0.25">
      <c r="A54" t="s">
        <v>71</v>
      </c>
      <c r="B54" s="3">
        <v>1</v>
      </c>
      <c r="C54" s="4">
        <v>38</v>
      </c>
      <c r="D54" s="1">
        <v>44940</v>
      </c>
      <c r="E54" s="1">
        <v>44933</v>
      </c>
      <c r="F54" s="1"/>
      <c r="G54" s="16">
        <v>19.5</v>
      </c>
      <c r="H54" s="5"/>
      <c r="I54" s="6" t="s">
        <v>422</v>
      </c>
      <c r="J54" s="6" t="s">
        <v>423</v>
      </c>
      <c r="K54" s="4"/>
    </row>
    <row r="55" spans="1:11" x14ac:dyDescent="0.25">
      <c r="A55" t="s">
        <v>88</v>
      </c>
      <c r="B55" s="3">
        <v>0</v>
      </c>
      <c r="C55" s="4">
        <v>28</v>
      </c>
      <c r="D55" s="1">
        <v>44940</v>
      </c>
      <c r="E55" s="1">
        <v>44928</v>
      </c>
      <c r="F55" s="1"/>
      <c r="G55" s="16">
        <v>8</v>
      </c>
      <c r="H55" s="5"/>
      <c r="I55" s="6" t="s">
        <v>90</v>
      </c>
      <c r="J55" s="6"/>
      <c r="K55" s="4"/>
    </row>
    <row r="56" spans="1:11" x14ac:dyDescent="0.25">
      <c r="A56" t="s">
        <v>88</v>
      </c>
      <c r="B56" s="3">
        <v>0</v>
      </c>
      <c r="C56" s="4">
        <v>28</v>
      </c>
      <c r="D56" s="1">
        <v>44940</v>
      </c>
      <c r="E56" s="1">
        <v>44929</v>
      </c>
      <c r="F56" s="1"/>
      <c r="G56" s="16">
        <v>7</v>
      </c>
      <c r="H56" s="5"/>
      <c r="I56" s="6" t="s">
        <v>90</v>
      </c>
      <c r="J56" s="6"/>
      <c r="K56" s="4"/>
    </row>
    <row r="57" spans="1:11" x14ac:dyDescent="0.25">
      <c r="A57" t="s">
        <v>88</v>
      </c>
      <c r="B57" s="3">
        <v>0</v>
      </c>
      <c r="C57" s="4">
        <v>28</v>
      </c>
      <c r="D57" s="1">
        <v>44940</v>
      </c>
      <c r="E57" s="1">
        <v>44930</v>
      </c>
      <c r="F57" s="1"/>
      <c r="G57" s="16">
        <v>7</v>
      </c>
      <c r="H57" s="5"/>
      <c r="I57" s="6" t="s">
        <v>90</v>
      </c>
      <c r="J57" s="6"/>
      <c r="K57" s="4"/>
    </row>
    <row r="58" spans="1:11" x14ac:dyDescent="0.25">
      <c r="A58" t="s">
        <v>88</v>
      </c>
      <c r="B58" s="3">
        <v>0</v>
      </c>
      <c r="C58" s="4">
        <v>28</v>
      </c>
      <c r="D58" s="1">
        <v>44940</v>
      </c>
      <c r="E58" s="1">
        <v>44931</v>
      </c>
      <c r="F58" s="1"/>
      <c r="G58" s="16">
        <v>7</v>
      </c>
      <c r="H58" s="5"/>
      <c r="I58" s="6" t="s">
        <v>90</v>
      </c>
      <c r="J58" s="6"/>
      <c r="K58" s="4"/>
    </row>
    <row r="59" spans="1:11" x14ac:dyDescent="0.25">
      <c r="A59" t="s">
        <v>88</v>
      </c>
      <c r="B59" s="3">
        <v>0</v>
      </c>
      <c r="C59" s="4">
        <v>28</v>
      </c>
      <c r="D59" s="1">
        <v>44940</v>
      </c>
      <c r="E59" s="1">
        <v>44932</v>
      </c>
      <c r="F59" s="1"/>
      <c r="G59" s="16">
        <v>7</v>
      </c>
      <c r="H59" s="5"/>
      <c r="I59" s="6" t="s">
        <v>90</v>
      </c>
      <c r="J59" s="6"/>
      <c r="K59" s="4">
        <v>54.13</v>
      </c>
    </row>
    <row r="60" spans="1:11" x14ac:dyDescent="0.25">
      <c r="A60" t="s">
        <v>71</v>
      </c>
      <c r="B60" s="3">
        <v>1</v>
      </c>
      <c r="C60" s="4">
        <v>38</v>
      </c>
      <c r="D60" s="1">
        <v>44947</v>
      </c>
      <c r="E60" s="1">
        <v>44938</v>
      </c>
      <c r="F60" s="1"/>
      <c r="G60" s="16">
        <v>5</v>
      </c>
      <c r="H60" s="5"/>
      <c r="I60" s="6" t="s">
        <v>424</v>
      </c>
      <c r="J60" s="6" t="s">
        <v>425</v>
      </c>
      <c r="K60" s="4"/>
    </row>
    <row r="61" spans="1:11" x14ac:dyDescent="0.25">
      <c r="A61" t="s">
        <v>71</v>
      </c>
      <c r="B61" s="3">
        <v>1</v>
      </c>
      <c r="C61" s="4">
        <v>38</v>
      </c>
      <c r="D61" s="1">
        <v>44947</v>
      </c>
      <c r="E61" s="1">
        <v>44939</v>
      </c>
      <c r="F61" s="1"/>
      <c r="G61" s="16">
        <v>7.5</v>
      </c>
      <c r="H61" s="5"/>
      <c r="I61" s="6" t="s">
        <v>424</v>
      </c>
      <c r="J61" s="6" t="s">
        <v>425</v>
      </c>
      <c r="K61" s="4">
        <v>13.1</v>
      </c>
    </row>
    <row r="62" spans="1:11" x14ac:dyDescent="0.25">
      <c r="A62" t="s">
        <v>71</v>
      </c>
      <c r="B62" s="3">
        <v>1</v>
      </c>
      <c r="C62" s="4">
        <v>38</v>
      </c>
      <c r="D62" s="1">
        <v>44947</v>
      </c>
      <c r="E62" s="1">
        <v>44940</v>
      </c>
      <c r="F62" s="1"/>
      <c r="G62" s="16">
        <v>18.5</v>
      </c>
      <c r="H62" s="5"/>
      <c r="I62" s="6" t="s">
        <v>424</v>
      </c>
      <c r="J62" s="6" t="s">
        <v>425</v>
      </c>
      <c r="K62" s="4">
        <v>13.1</v>
      </c>
    </row>
    <row r="63" spans="1:11" x14ac:dyDescent="0.25">
      <c r="A63" t="s">
        <v>142</v>
      </c>
      <c r="B63" s="3">
        <v>1</v>
      </c>
      <c r="C63" s="4">
        <v>38</v>
      </c>
      <c r="D63" s="1">
        <v>44947</v>
      </c>
      <c r="E63" s="1">
        <v>44938</v>
      </c>
      <c r="F63" s="1"/>
      <c r="G63" s="16">
        <v>4</v>
      </c>
      <c r="H63" s="5"/>
      <c r="I63" s="6" t="s">
        <v>426</v>
      </c>
      <c r="J63" s="6" t="s">
        <v>413</v>
      </c>
      <c r="K63" s="4"/>
    </row>
    <row r="64" spans="1:11" x14ac:dyDescent="0.25">
      <c r="A64" t="s">
        <v>142</v>
      </c>
      <c r="B64" s="3">
        <v>1</v>
      </c>
      <c r="C64" s="4">
        <v>38</v>
      </c>
      <c r="D64" s="1">
        <v>44947</v>
      </c>
      <c r="E64" s="1">
        <v>44939</v>
      </c>
      <c r="F64" s="1"/>
      <c r="G64" s="16">
        <v>6.5</v>
      </c>
      <c r="H64" s="5"/>
      <c r="I64" s="6" t="s">
        <v>426</v>
      </c>
      <c r="J64" s="6" t="s">
        <v>413</v>
      </c>
      <c r="K64" s="4"/>
    </row>
    <row r="65" spans="1:11" x14ac:dyDescent="0.25">
      <c r="A65" t="s">
        <v>142</v>
      </c>
      <c r="B65" s="3">
        <v>1</v>
      </c>
      <c r="C65" s="4">
        <v>38</v>
      </c>
      <c r="D65" s="1">
        <v>44947</v>
      </c>
      <c r="E65" s="1">
        <v>44940</v>
      </c>
      <c r="F65" s="1"/>
      <c r="G65" s="16">
        <v>12</v>
      </c>
      <c r="H65" s="5"/>
      <c r="I65" s="6" t="s">
        <v>426</v>
      </c>
      <c r="J65" s="6" t="s">
        <v>413</v>
      </c>
      <c r="K65" s="4"/>
    </row>
    <row r="66" spans="1:11" x14ac:dyDescent="0.25">
      <c r="A66" t="s">
        <v>91</v>
      </c>
      <c r="B66" s="3">
        <v>1</v>
      </c>
      <c r="C66" s="4">
        <v>38</v>
      </c>
      <c r="D66" s="1">
        <v>44947</v>
      </c>
      <c r="E66" s="1">
        <v>44945</v>
      </c>
      <c r="F66" s="1"/>
      <c r="G66" s="16">
        <v>5</v>
      </c>
      <c r="H66" s="5"/>
      <c r="I66" s="6" t="s">
        <v>426</v>
      </c>
      <c r="J66" s="6" t="s">
        <v>413</v>
      </c>
      <c r="K66" s="4"/>
    </row>
    <row r="67" spans="1:11" x14ac:dyDescent="0.25">
      <c r="A67" t="s">
        <v>91</v>
      </c>
      <c r="B67" s="3">
        <v>1</v>
      </c>
      <c r="C67" s="4">
        <v>38</v>
      </c>
      <c r="D67" s="1">
        <v>44947</v>
      </c>
      <c r="E67" s="1">
        <v>44946</v>
      </c>
      <c r="F67" s="1"/>
      <c r="G67" s="16">
        <v>6.5</v>
      </c>
      <c r="H67" s="5"/>
      <c r="I67" s="6" t="s">
        <v>426</v>
      </c>
      <c r="J67" s="6" t="s">
        <v>413</v>
      </c>
      <c r="K67" s="4"/>
    </row>
    <row r="68" spans="1:11" x14ac:dyDescent="0.25">
      <c r="A68" t="s">
        <v>91</v>
      </c>
      <c r="B68" s="3">
        <v>1</v>
      </c>
      <c r="C68" s="4">
        <v>38</v>
      </c>
      <c r="D68" s="1">
        <v>44947</v>
      </c>
      <c r="E68" s="1">
        <v>44947</v>
      </c>
      <c r="F68" s="1"/>
      <c r="G68" s="16">
        <v>20.5</v>
      </c>
      <c r="H68" s="5"/>
      <c r="I68" s="6" t="s">
        <v>426</v>
      </c>
      <c r="J68" s="6" t="s">
        <v>413</v>
      </c>
      <c r="K68" s="4"/>
    </row>
    <row r="69" spans="1:11" x14ac:dyDescent="0.25">
      <c r="A69" t="s">
        <v>88</v>
      </c>
      <c r="B69" s="3">
        <v>0</v>
      </c>
      <c r="C69" s="4">
        <v>28</v>
      </c>
      <c r="D69" s="1">
        <v>44947</v>
      </c>
      <c r="E69" s="1">
        <v>44936</v>
      </c>
      <c r="F69" s="1"/>
      <c r="G69" s="16">
        <v>7</v>
      </c>
      <c r="H69" s="5"/>
      <c r="I69" s="6" t="s">
        <v>90</v>
      </c>
      <c r="J69" s="6"/>
      <c r="K69" s="4"/>
    </row>
    <row r="70" spans="1:11" x14ac:dyDescent="0.25">
      <c r="A70" t="s">
        <v>88</v>
      </c>
      <c r="B70" s="3">
        <v>0</v>
      </c>
      <c r="C70" s="4">
        <v>28</v>
      </c>
      <c r="D70" s="1">
        <v>44947</v>
      </c>
      <c r="E70" s="1">
        <v>44937</v>
      </c>
      <c r="F70" s="1"/>
      <c r="G70" s="16">
        <v>7</v>
      </c>
      <c r="H70" s="5"/>
      <c r="I70" s="6" t="s">
        <v>90</v>
      </c>
      <c r="J70" s="6"/>
      <c r="K70" s="4"/>
    </row>
    <row r="71" spans="1:11" x14ac:dyDescent="0.25">
      <c r="A71" t="s">
        <v>88</v>
      </c>
      <c r="B71" s="3">
        <v>0</v>
      </c>
      <c r="C71" s="4">
        <v>28</v>
      </c>
      <c r="D71" s="1">
        <v>44947</v>
      </c>
      <c r="E71" s="1">
        <v>44938</v>
      </c>
      <c r="F71" s="1"/>
      <c r="G71" s="16">
        <v>7</v>
      </c>
      <c r="H71" s="5"/>
      <c r="I71" s="6" t="s">
        <v>90</v>
      </c>
      <c r="J71" s="6"/>
      <c r="K71" s="4"/>
    </row>
    <row r="72" spans="1:11" x14ac:dyDescent="0.25">
      <c r="A72" t="s">
        <v>88</v>
      </c>
      <c r="B72" s="3">
        <v>0</v>
      </c>
      <c r="C72" s="4">
        <v>28</v>
      </c>
      <c r="D72" s="1">
        <v>44947</v>
      </c>
      <c r="E72" s="1">
        <v>44939</v>
      </c>
      <c r="F72" s="1"/>
      <c r="G72" s="16">
        <v>7</v>
      </c>
      <c r="H72" s="5"/>
      <c r="I72" s="6" t="s">
        <v>90</v>
      </c>
      <c r="J72" s="6"/>
      <c r="K72" s="4">
        <v>47.71</v>
      </c>
    </row>
    <row r="73" spans="1:11" x14ac:dyDescent="0.25">
      <c r="A73" t="s">
        <v>88</v>
      </c>
      <c r="B73" s="3">
        <v>0</v>
      </c>
      <c r="C73" s="4">
        <v>28</v>
      </c>
      <c r="D73" s="1">
        <v>44947</v>
      </c>
      <c r="E73" s="1">
        <v>44942</v>
      </c>
      <c r="F73" s="1"/>
      <c r="G73" s="16">
        <v>7</v>
      </c>
      <c r="H73" s="5"/>
      <c r="I73" s="6" t="s">
        <v>90</v>
      </c>
      <c r="J73" s="6"/>
      <c r="K73" s="4"/>
    </row>
    <row r="74" spans="1:11" x14ac:dyDescent="0.25">
      <c r="A74" t="s">
        <v>88</v>
      </c>
      <c r="B74" s="3">
        <v>0</v>
      </c>
      <c r="C74" s="4">
        <v>28</v>
      </c>
      <c r="D74" s="1">
        <v>44947</v>
      </c>
      <c r="E74" s="1">
        <v>44943</v>
      </c>
      <c r="F74" s="1"/>
      <c r="G74" s="16">
        <v>7</v>
      </c>
      <c r="H74" s="5"/>
      <c r="I74" s="6" t="s">
        <v>90</v>
      </c>
      <c r="J74" s="6"/>
      <c r="K74" s="4"/>
    </row>
    <row r="75" spans="1:11" x14ac:dyDescent="0.25">
      <c r="A75" t="s">
        <v>88</v>
      </c>
      <c r="B75" s="3">
        <v>0</v>
      </c>
      <c r="C75" s="4">
        <v>28</v>
      </c>
      <c r="D75" s="1">
        <v>44947</v>
      </c>
      <c r="E75" s="1">
        <v>44944</v>
      </c>
      <c r="F75" s="1"/>
      <c r="G75" s="16">
        <v>7</v>
      </c>
      <c r="H75" s="5"/>
      <c r="I75" s="6" t="s">
        <v>90</v>
      </c>
      <c r="J75" s="6"/>
      <c r="K75" s="4"/>
    </row>
    <row r="76" spans="1:11" x14ac:dyDescent="0.25">
      <c r="A76" t="s">
        <v>88</v>
      </c>
      <c r="B76" s="3">
        <v>0</v>
      </c>
      <c r="C76" s="4">
        <v>28</v>
      </c>
      <c r="D76" s="1">
        <v>44947</v>
      </c>
      <c r="E76" s="1">
        <v>44945</v>
      </c>
      <c r="F76" s="1"/>
      <c r="G76" s="16">
        <v>7</v>
      </c>
      <c r="H76" s="5"/>
      <c r="I76" s="6" t="s">
        <v>90</v>
      </c>
      <c r="J76" s="6"/>
      <c r="K76" s="4"/>
    </row>
    <row r="77" spans="1:11" x14ac:dyDescent="0.25">
      <c r="A77" t="s">
        <v>88</v>
      </c>
      <c r="B77" s="3">
        <v>0</v>
      </c>
      <c r="C77" s="4">
        <v>28</v>
      </c>
      <c r="D77" s="1">
        <v>44947</v>
      </c>
      <c r="E77" s="1">
        <v>44946</v>
      </c>
      <c r="F77" s="1"/>
      <c r="G77" s="16">
        <v>7</v>
      </c>
      <c r="H77" s="5"/>
      <c r="I77" s="6" t="s">
        <v>90</v>
      </c>
      <c r="J77" s="6"/>
      <c r="K77" s="4"/>
    </row>
    <row r="78" spans="1:11" x14ac:dyDescent="0.25">
      <c r="A78" t="s">
        <v>71</v>
      </c>
      <c r="B78" s="3">
        <v>1</v>
      </c>
      <c r="C78" s="4">
        <v>38</v>
      </c>
      <c r="D78" s="1">
        <v>44953</v>
      </c>
      <c r="E78" s="1">
        <v>44945</v>
      </c>
      <c r="F78" s="1"/>
      <c r="G78" s="16">
        <v>5</v>
      </c>
      <c r="H78" s="5"/>
      <c r="I78" s="6" t="s">
        <v>424</v>
      </c>
      <c r="J78" s="6" t="s">
        <v>425</v>
      </c>
      <c r="K78" s="4"/>
    </row>
    <row r="79" spans="1:11" x14ac:dyDescent="0.25">
      <c r="A79" t="s">
        <v>71</v>
      </c>
      <c r="B79" s="3">
        <v>1</v>
      </c>
      <c r="C79" s="4">
        <v>38</v>
      </c>
      <c r="D79" s="1">
        <v>44953</v>
      </c>
      <c r="E79" s="1">
        <v>44946</v>
      </c>
      <c r="F79" s="1"/>
      <c r="G79" s="16">
        <v>7.5</v>
      </c>
      <c r="H79" s="5"/>
      <c r="I79" s="6" t="s">
        <v>424</v>
      </c>
      <c r="J79" s="6" t="s">
        <v>425</v>
      </c>
      <c r="K79" s="4">
        <v>13.9</v>
      </c>
    </row>
    <row r="80" spans="1:11" x14ac:dyDescent="0.25">
      <c r="A80" t="s">
        <v>71</v>
      </c>
      <c r="B80" s="3">
        <v>1</v>
      </c>
      <c r="C80" s="4">
        <v>38</v>
      </c>
      <c r="D80" s="1">
        <v>44953</v>
      </c>
      <c r="E80" s="1">
        <v>44947</v>
      </c>
      <c r="F80" s="1"/>
      <c r="G80" s="16">
        <v>18.5</v>
      </c>
      <c r="H80" s="5"/>
      <c r="I80" s="6" t="s">
        <v>424</v>
      </c>
      <c r="J80" s="6" t="s">
        <v>425</v>
      </c>
      <c r="K80" s="4">
        <v>13.9</v>
      </c>
    </row>
    <row r="81" spans="1:11" x14ac:dyDescent="0.25">
      <c r="A81" t="s">
        <v>71</v>
      </c>
      <c r="B81" s="3">
        <v>1</v>
      </c>
      <c r="C81" s="4">
        <v>38</v>
      </c>
      <c r="D81" s="1">
        <v>44953</v>
      </c>
      <c r="E81" s="1">
        <v>44947</v>
      </c>
      <c r="F81" s="1"/>
      <c r="G81" s="16">
        <v>4</v>
      </c>
      <c r="H81" s="5"/>
      <c r="I81" s="6" t="s">
        <v>427</v>
      </c>
      <c r="J81" s="6" t="s">
        <v>428</v>
      </c>
      <c r="K81" s="4">
        <v>13.9</v>
      </c>
    </row>
    <row r="82" spans="1:11" x14ac:dyDescent="0.25">
      <c r="A82" t="s">
        <v>71</v>
      </c>
      <c r="B82" s="3">
        <v>1</v>
      </c>
      <c r="C82" s="4">
        <v>38</v>
      </c>
      <c r="D82" s="1">
        <v>44968</v>
      </c>
      <c r="E82" s="1">
        <v>44959</v>
      </c>
      <c r="F82" s="1"/>
      <c r="G82" s="16">
        <v>5</v>
      </c>
      <c r="H82" s="5"/>
      <c r="I82" s="6" t="s">
        <v>429</v>
      </c>
      <c r="J82" s="6" t="s">
        <v>243</v>
      </c>
      <c r="K82" s="4"/>
    </row>
    <row r="83" spans="1:11" x14ac:dyDescent="0.25">
      <c r="A83" t="s">
        <v>71</v>
      </c>
      <c r="B83" s="3">
        <v>1</v>
      </c>
      <c r="C83" s="4">
        <v>38</v>
      </c>
      <c r="D83" s="1">
        <v>44968</v>
      </c>
      <c r="E83" s="1">
        <v>44960</v>
      </c>
      <c r="F83" s="1"/>
      <c r="G83" s="16">
        <v>7.5</v>
      </c>
      <c r="H83" s="5"/>
      <c r="I83" s="6" t="s">
        <v>429</v>
      </c>
      <c r="J83" s="6" t="s">
        <v>243</v>
      </c>
      <c r="K83" s="4"/>
    </row>
    <row r="84" spans="1:11" x14ac:dyDescent="0.25">
      <c r="A84" t="s">
        <v>71</v>
      </c>
      <c r="B84" s="3">
        <v>1</v>
      </c>
      <c r="C84" s="4">
        <v>38</v>
      </c>
      <c r="D84" s="1">
        <v>44968</v>
      </c>
      <c r="E84" s="1">
        <v>44961</v>
      </c>
      <c r="F84" s="1"/>
      <c r="G84" s="16">
        <v>19</v>
      </c>
      <c r="H84" s="5"/>
      <c r="I84" s="6" t="s">
        <v>429</v>
      </c>
      <c r="J84" s="6" t="s">
        <v>243</v>
      </c>
      <c r="K84" s="4"/>
    </row>
    <row r="85" spans="1:11" x14ac:dyDescent="0.25">
      <c r="A85" t="s">
        <v>25</v>
      </c>
      <c r="B85" s="3">
        <v>1</v>
      </c>
      <c r="C85" s="4">
        <v>38</v>
      </c>
      <c r="D85" s="1">
        <v>44968</v>
      </c>
      <c r="E85" s="1">
        <v>44784</v>
      </c>
      <c r="F85" s="1"/>
      <c r="G85" s="16">
        <v>4.5</v>
      </c>
      <c r="H85" s="5"/>
      <c r="I85" s="6" t="s">
        <v>430</v>
      </c>
      <c r="J85" s="6" t="s">
        <v>431</v>
      </c>
      <c r="K85" s="4"/>
    </row>
    <row r="86" spans="1:11" x14ac:dyDescent="0.25">
      <c r="A86" t="s">
        <v>25</v>
      </c>
      <c r="B86" s="3">
        <v>1</v>
      </c>
      <c r="C86" s="4">
        <v>38</v>
      </c>
      <c r="D86" s="1">
        <v>44968</v>
      </c>
      <c r="E86" s="1">
        <v>44785</v>
      </c>
      <c r="F86" s="1"/>
      <c r="G86" s="16">
        <v>7.5</v>
      </c>
      <c r="H86" s="5"/>
      <c r="I86" s="6" t="s">
        <v>430</v>
      </c>
      <c r="J86" s="6" t="s">
        <v>431</v>
      </c>
      <c r="K86" s="4"/>
    </row>
    <row r="87" spans="1:11" x14ac:dyDescent="0.25">
      <c r="A87" t="s">
        <v>25</v>
      </c>
      <c r="B87" s="3">
        <v>1</v>
      </c>
      <c r="C87" s="4">
        <v>38</v>
      </c>
      <c r="D87" s="1">
        <v>44968</v>
      </c>
      <c r="E87" s="1">
        <v>44786</v>
      </c>
      <c r="F87" s="1"/>
      <c r="G87" s="16">
        <v>20</v>
      </c>
      <c r="H87" s="5"/>
      <c r="I87" s="6" t="s">
        <v>430</v>
      </c>
      <c r="J87" s="6" t="s">
        <v>431</v>
      </c>
      <c r="K87" s="4"/>
    </row>
    <row r="88" spans="1:11" x14ac:dyDescent="0.25">
      <c r="A88" t="s">
        <v>25</v>
      </c>
      <c r="B88" s="3">
        <v>1</v>
      </c>
      <c r="C88" s="4">
        <v>38</v>
      </c>
      <c r="D88" s="1">
        <v>44968</v>
      </c>
      <c r="E88" s="1">
        <v>44787</v>
      </c>
      <c r="F88" s="1"/>
      <c r="G88" s="16">
        <v>5</v>
      </c>
      <c r="H88" s="5"/>
      <c r="I88" s="6" t="s">
        <v>430</v>
      </c>
      <c r="J88" s="6" t="s">
        <v>431</v>
      </c>
      <c r="K88" s="4"/>
    </row>
    <row r="89" spans="1:11" x14ac:dyDescent="0.25">
      <c r="A89" t="s">
        <v>88</v>
      </c>
      <c r="B89" s="3">
        <v>0</v>
      </c>
      <c r="C89" s="4">
        <v>28</v>
      </c>
      <c r="D89" s="1">
        <v>44968</v>
      </c>
      <c r="E89" s="1">
        <v>44957</v>
      </c>
      <c r="F89" s="1"/>
      <c r="G89" s="16">
        <v>6.5</v>
      </c>
      <c r="H89" s="5"/>
      <c r="I89" s="6" t="s">
        <v>90</v>
      </c>
      <c r="J89" s="6"/>
      <c r="K89" s="4"/>
    </row>
    <row r="90" spans="1:11" x14ac:dyDescent="0.25">
      <c r="A90" t="s">
        <v>88</v>
      </c>
      <c r="B90" s="3">
        <v>0</v>
      </c>
      <c r="C90" s="4">
        <v>28</v>
      </c>
      <c r="D90" s="1">
        <v>44968</v>
      </c>
      <c r="E90" s="1">
        <v>44959</v>
      </c>
      <c r="F90" s="1"/>
      <c r="G90" s="16">
        <v>7</v>
      </c>
      <c r="H90" s="5"/>
      <c r="I90" s="6" t="s">
        <v>90</v>
      </c>
      <c r="J90" s="6"/>
      <c r="K90" s="4"/>
    </row>
    <row r="91" spans="1:11" x14ac:dyDescent="0.25">
      <c r="A91" t="s">
        <v>88</v>
      </c>
      <c r="B91" s="3">
        <v>0</v>
      </c>
      <c r="C91" s="4">
        <v>28</v>
      </c>
      <c r="D91" s="1">
        <v>44968</v>
      </c>
      <c r="E91" s="1">
        <v>44960</v>
      </c>
      <c r="F91" s="1"/>
      <c r="G91" s="16">
        <v>7.5</v>
      </c>
      <c r="H91" s="5"/>
      <c r="I91" s="6" t="s">
        <v>90</v>
      </c>
      <c r="J91" s="6"/>
      <c r="K91" s="4"/>
    </row>
    <row r="92" spans="1:11" x14ac:dyDescent="0.25">
      <c r="A92" t="s">
        <v>136</v>
      </c>
      <c r="B92" s="3">
        <v>1</v>
      </c>
      <c r="C92" s="4">
        <v>38</v>
      </c>
      <c r="D92" s="1">
        <v>44968</v>
      </c>
      <c r="E92" s="1">
        <v>44939</v>
      </c>
      <c r="F92" s="1"/>
      <c r="G92" s="16">
        <v>6.5</v>
      </c>
      <c r="H92" s="5"/>
      <c r="I92" s="6" t="s">
        <v>426</v>
      </c>
      <c r="J92" s="6" t="s">
        <v>413</v>
      </c>
      <c r="K92" s="4"/>
    </row>
    <row r="93" spans="1:11" x14ac:dyDescent="0.25">
      <c r="A93" t="s">
        <v>136</v>
      </c>
      <c r="B93" s="3">
        <v>1</v>
      </c>
      <c r="C93" s="4">
        <v>38</v>
      </c>
      <c r="D93" s="1">
        <v>44968</v>
      </c>
      <c r="E93" s="1">
        <v>44940</v>
      </c>
      <c r="F93" s="1"/>
      <c r="G93" s="16">
        <v>19.5</v>
      </c>
      <c r="H93" s="5"/>
      <c r="I93" s="6" t="s">
        <v>426</v>
      </c>
      <c r="J93" s="6" t="s">
        <v>413</v>
      </c>
      <c r="K93" s="4"/>
    </row>
    <row r="94" spans="1:11" x14ac:dyDescent="0.25">
      <c r="A94" t="s">
        <v>71</v>
      </c>
      <c r="B94" s="3">
        <v>1</v>
      </c>
      <c r="C94" s="4">
        <v>38</v>
      </c>
      <c r="D94" s="1">
        <v>45143</v>
      </c>
      <c r="E94" s="1">
        <v>45130</v>
      </c>
      <c r="F94" s="1"/>
      <c r="G94" s="16">
        <v>19.5</v>
      </c>
      <c r="H94" s="5"/>
      <c r="I94" s="6" t="s">
        <v>104</v>
      </c>
      <c r="J94" s="6" t="s">
        <v>105</v>
      </c>
      <c r="K94" s="4"/>
    </row>
    <row r="95" spans="1:11" x14ac:dyDescent="0.25">
      <c r="A95" t="s">
        <v>71</v>
      </c>
      <c r="B95" s="3">
        <v>1</v>
      </c>
      <c r="C95" s="4">
        <v>38</v>
      </c>
      <c r="D95" s="1">
        <v>45143</v>
      </c>
      <c r="E95" s="1">
        <v>45131</v>
      </c>
      <c r="F95" s="1"/>
      <c r="G95" s="16">
        <v>4.5</v>
      </c>
      <c r="H95" s="5"/>
      <c r="I95" s="6" t="s">
        <v>106</v>
      </c>
      <c r="J95" s="6" t="s">
        <v>107</v>
      </c>
      <c r="K95" s="4"/>
    </row>
    <row r="96" spans="1:11" x14ac:dyDescent="0.25">
      <c r="A96" t="s">
        <v>71</v>
      </c>
      <c r="B96" s="3">
        <v>1</v>
      </c>
      <c r="C96" s="4">
        <v>38</v>
      </c>
      <c r="D96" s="1">
        <v>45143</v>
      </c>
      <c r="E96" s="1">
        <v>45132</v>
      </c>
      <c r="F96" s="1"/>
      <c r="G96" s="16">
        <v>16.5</v>
      </c>
      <c r="H96" s="5"/>
      <c r="I96" s="6" t="s">
        <v>106</v>
      </c>
      <c r="J96" s="6" t="s">
        <v>107</v>
      </c>
      <c r="K96" s="4"/>
    </row>
    <row r="97" spans="1:11" x14ac:dyDescent="0.25">
      <c r="A97" t="s">
        <v>71</v>
      </c>
      <c r="B97" s="3">
        <v>1</v>
      </c>
      <c r="C97" s="4">
        <v>38</v>
      </c>
      <c r="D97" s="1">
        <v>45143</v>
      </c>
      <c r="E97" s="1">
        <v>45133</v>
      </c>
      <c r="F97" s="1"/>
      <c r="G97" s="16">
        <v>15.5</v>
      </c>
      <c r="H97" s="5"/>
      <c r="I97" s="6" t="s">
        <v>106</v>
      </c>
      <c r="J97" s="6" t="s">
        <v>107</v>
      </c>
      <c r="K97" s="4"/>
    </row>
    <row r="98" spans="1:11" x14ac:dyDescent="0.25">
      <c r="A98" t="s">
        <v>71</v>
      </c>
      <c r="B98" s="3">
        <v>1</v>
      </c>
      <c r="C98" s="4">
        <v>38</v>
      </c>
      <c r="D98" s="1">
        <v>45143</v>
      </c>
      <c r="E98" s="1">
        <v>45134</v>
      </c>
      <c r="F98" s="1"/>
      <c r="G98" s="16">
        <v>4.5</v>
      </c>
      <c r="H98" s="5"/>
      <c r="I98" s="6" t="s">
        <v>108</v>
      </c>
      <c r="J98" s="6" t="s">
        <v>109</v>
      </c>
      <c r="K98" s="4"/>
    </row>
    <row r="99" spans="1:11" x14ac:dyDescent="0.25">
      <c r="A99" t="s">
        <v>71</v>
      </c>
      <c r="B99" s="3">
        <v>1</v>
      </c>
      <c r="C99" s="4">
        <v>38</v>
      </c>
      <c r="D99" s="1">
        <v>45143</v>
      </c>
      <c r="E99" s="1">
        <v>45135</v>
      </c>
      <c r="F99" s="1"/>
      <c r="G99" s="16">
        <v>4.5</v>
      </c>
      <c r="H99" s="5"/>
      <c r="I99" s="6" t="s">
        <v>108</v>
      </c>
      <c r="J99" s="6" t="s">
        <v>109</v>
      </c>
      <c r="K99" s="4"/>
    </row>
    <row r="100" spans="1:11" x14ac:dyDescent="0.25">
      <c r="A100" t="s">
        <v>71</v>
      </c>
      <c r="B100" s="3">
        <v>1</v>
      </c>
      <c r="C100" s="4">
        <v>38</v>
      </c>
      <c r="D100" s="1">
        <v>45143</v>
      </c>
      <c r="E100" s="1">
        <v>45135</v>
      </c>
      <c r="F100" s="1"/>
      <c r="G100" s="16">
        <v>6.5</v>
      </c>
      <c r="H100" s="5"/>
      <c r="I100" s="6" t="s">
        <v>110</v>
      </c>
      <c r="J100" s="6" t="s">
        <v>111</v>
      </c>
      <c r="K100" s="4"/>
    </row>
    <row r="101" spans="1:11" x14ac:dyDescent="0.25">
      <c r="A101" t="s">
        <v>71</v>
      </c>
      <c r="B101" s="3">
        <v>1</v>
      </c>
      <c r="C101" s="4">
        <v>38</v>
      </c>
      <c r="D101" s="1">
        <v>45143</v>
      </c>
      <c r="E101" s="1">
        <v>45136</v>
      </c>
      <c r="F101" s="1"/>
      <c r="G101" s="16">
        <v>19</v>
      </c>
      <c r="H101" s="5"/>
      <c r="I101" s="6" t="s">
        <v>110</v>
      </c>
      <c r="J101" s="6" t="s">
        <v>111</v>
      </c>
      <c r="K101" s="4"/>
    </row>
    <row r="102" spans="1:11" x14ac:dyDescent="0.25">
      <c r="A102" t="s">
        <v>91</v>
      </c>
      <c r="B102" s="3">
        <v>1</v>
      </c>
      <c r="C102" s="4">
        <v>38</v>
      </c>
      <c r="D102" s="1">
        <v>45143</v>
      </c>
      <c r="E102" s="1">
        <v>45134</v>
      </c>
      <c r="F102" s="1"/>
      <c r="G102" s="16">
        <v>6</v>
      </c>
      <c r="H102" s="5"/>
      <c r="I102" s="6" t="s">
        <v>52</v>
      </c>
      <c r="J102" s="6" t="s">
        <v>53</v>
      </c>
      <c r="K102" s="4"/>
    </row>
    <row r="103" spans="1:11" x14ac:dyDescent="0.25">
      <c r="A103" t="s">
        <v>91</v>
      </c>
      <c r="B103" s="3">
        <v>1</v>
      </c>
      <c r="C103" s="4">
        <v>38</v>
      </c>
      <c r="D103" s="1">
        <v>45143</v>
      </c>
      <c r="E103" s="1">
        <v>45135</v>
      </c>
      <c r="F103" s="1"/>
      <c r="G103" s="16">
        <v>6.5</v>
      </c>
      <c r="H103" s="5"/>
      <c r="I103" s="6" t="s">
        <v>52</v>
      </c>
      <c r="J103" s="6" t="s">
        <v>53</v>
      </c>
      <c r="K103" s="4"/>
    </row>
    <row r="104" spans="1:11" x14ac:dyDescent="0.25">
      <c r="A104" t="s">
        <v>91</v>
      </c>
      <c r="B104" s="3">
        <v>1</v>
      </c>
      <c r="C104" s="4">
        <v>38</v>
      </c>
      <c r="D104" s="1">
        <v>45143</v>
      </c>
      <c r="E104" s="1">
        <v>45136</v>
      </c>
      <c r="F104" s="1"/>
      <c r="G104" s="16">
        <v>24</v>
      </c>
      <c r="H104" s="5"/>
      <c r="I104" s="6" t="s">
        <v>52</v>
      </c>
      <c r="J104" s="6" t="s">
        <v>53</v>
      </c>
      <c r="K104" s="4"/>
    </row>
    <row r="105" spans="1:11" x14ac:dyDescent="0.25">
      <c r="A105" t="s">
        <v>88</v>
      </c>
      <c r="B105" s="3">
        <v>0</v>
      </c>
      <c r="C105" s="4">
        <v>28</v>
      </c>
      <c r="D105" s="1">
        <v>45143</v>
      </c>
      <c r="E105" s="1">
        <v>45130</v>
      </c>
      <c r="F105" s="1"/>
      <c r="G105" s="16">
        <v>0</v>
      </c>
      <c r="H105" s="5"/>
      <c r="I105" s="6" t="s">
        <v>90</v>
      </c>
      <c r="J105" s="6"/>
      <c r="K105" s="4"/>
    </row>
    <row r="106" spans="1:11" x14ac:dyDescent="0.25">
      <c r="A106" t="s">
        <v>88</v>
      </c>
      <c r="B106" s="3">
        <v>0</v>
      </c>
      <c r="C106" s="4">
        <v>28</v>
      </c>
      <c r="D106" s="1">
        <v>45143</v>
      </c>
      <c r="E106" s="1">
        <v>45131</v>
      </c>
      <c r="F106" s="1"/>
      <c r="G106" s="16">
        <v>7</v>
      </c>
      <c r="H106" s="5"/>
      <c r="I106" s="6" t="s">
        <v>90</v>
      </c>
      <c r="J106" s="6"/>
      <c r="K106" s="4"/>
    </row>
    <row r="107" spans="1:11" x14ac:dyDescent="0.25">
      <c r="A107" t="s">
        <v>88</v>
      </c>
      <c r="B107" s="3">
        <v>0</v>
      </c>
      <c r="C107" s="4">
        <v>28</v>
      </c>
      <c r="D107" s="1">
        <v>45143</v>
      </c>
      <c r="E107" s="1">
        <v>45132</v>
      </c>
      <c r="F107" s="1"/>
      <c r="G107" s="16">
        <v>7</v>
      </c>
      <c r="H107" s="5"/>
      <c r="I107" s="6" t="s">
        <v>90</v>
      </c>
      <c r="J107" s="6"/>
      <c r="K107" s="4"/>
    </row>
    <row r="108" spans="1:11" x14ac:dyDescent="0.25">
      <c r="A108" t="s">
        <v>88</v>
      </c>
      <c r="B108" s="3">
        <v>0</v>
      </c>
      <c r="C108" s="4">
        <v>28</v>
      </c>
      <c r="D108" s="1">
        <v>45143</v>
      </c>
      <c r="E108" s="1">
        <v>45133</v>
      </c>
      <c r="F108" s="1"/>
      <c r="G108" s="16">
        <v>7</v>
      </c>
      <c r="H108" s="5"/>
      <c r="I108" s="6" t="s">
        <v>90</v>
      </c>
      <c r="J108" s="6"/>
      <c r="K108" s="4"/>
    </row>
    <row r="109" spans="1:11" x14ac:dyDescent="0.25">
      <c r="A109" t="s">
        <v>88</v>
      </c>
      <c r="B109" s="3">
        <v>0</v>
      </c>
      <c r="C109" s="4">
        <v>28</v>
      </c>
      <c r="D109" s="1">
        <v>45143</v>
      </c>
      <c r="E109" s="1">
        <v>45134</v>
      </c>
      <c r="F109" s="1"/>
      <c r="G109" s="16">
        <v>7</v>
      </c>
      <c r="H109" s="5"/>
      <c r="I109" s="6" t="s">
        <v>90</v>
      </c>
      <c r="J109" s="6"/>
      <c r="K109" s="4"/>
    </row>
    <row r="110" spans="1:11" x14ac:dyDescent="0.25">
      <c r="A110" t="s">
        <v>88</v>
      </c>
      <c r="B110" s="3">
        <v>0</v>
      </c>
      <c r="C110" s="4">
        <v>28</v>
      </c>
      <c r="D110" s="1">
        <v>45143</v>
      </c>
      <c r="E110" s="1">
        <v>45135</v>
      </c>
      <c r="F110" s="1"/>
      <c r="G110" s="16">
        <v>7</v>
      </c>
      <c r="H110" s="5"/>
      <c r="I110" s="6" t="s">
        <v>90</v>
      </c>
      <c r="J110" s="6"/>
      <c r="K110" s="4">
        <v>59.73</v>
      </c>
    </row>
    <row r="111" spans="1:11" x14ac:dyDescent="0.25">
      <c r="A111" t="s">
        <v>88</v>
      </c>
      <c r="B111" s="3">
        <v>0</v>
      </c>
      <c r="C111" s="4">
        <v>28</v>
      </c>
      <c r="D111" s="1">
        <v>45143</v>
      </c>
      <c r="E111" s="1">
        <v>45136</v>
      </c>
      <c r="F111" s="1"/>
      <c r="G111" s="16">
        <v>0</v>
      </c>
      <c r="H111" s="5"/>
      <c r="I111" s="6" t="s">
        <v>90</v>
      </c>
      <c r="J111" s="6"/>
      <c r="K111" s="4"/>
    </row>
    <row r="112" spans="1:11" x14ac:dyDescent="0.25">
      <c r="A112" t="s">
        <v>62</v>
      </c>
      <c r="B112" s="3">
        <v>2</v>
      </c>
      <c r="C112" s="4">
        <v>45</v>
      </c>
      <c r="D112" s="1">
        <v>45143</v>
      </c>
      <c r="E112" s="1">
        <v>45131</v>
      </c>
      <c r="F112" s="1"/>
      <c r="G112" s="16">
        <v>8</v>
      </c>
      <c r="H112" s="5"/>
      <c r="I112" s="6" t="s">
        <v>78</v>
      </c>
      <c r="J112" s="6" t="s">
        <v>79</v>
      </c>
      <c r="K112" s="4"/>
    </row>
    <row r="113" spans="1:11" x14ac:dyDescent="0.25">
      <c r="A113" t="s">
        <v>62</v>
      </c>
      <c r="B113" s="3">
        <v>2</v>
      </c>
      <c r="C113" s="4">
        <v>45</v>
      </c>
      <c r="D113" s="1">
        <v>45143</v>
      </c>
      <c r="E113" s="1">
        <v>45132</v>
      </c>
      <c r="F113" s="1"/>
      <c r="G113" s="16">
        <v>6</v>
      </c>
      <c r="H113" s="5"/>
      <c r="I113" s="6" t="s">
        <v>112</v>
      </c>
      <c r="J113" s="6" t="s">
        <v>113</v>
      </c>
      <c r="K113" s="4"/>
    </row>
    <row r="114" spans="1:11" x14ac:dyDescent="0.25">
      <c r="A114" t="s">
        <v>62</v>
      </c>
      <c r="B114" s="3">
        <v>2</v>
      </c>
      <c r="C114" s="4">
        <v>45</v>
      </c>
      <c r="D114" s="1">
        <v>45143</v>
      </c>
      <c r="E114" s="1">
        <v>45132</v>
      </c>
      <c r="F114" s="1"/>
      <c r="G114" s="16">
        <v>6</v>
      </c>
      <c r="H114" s="5"/>
      <c r="I114" s="6" t="s">
        <v>114</v>
      </c>
      <c r="J114" s="6" t="s">
        <v>115</v>
      </c>
      <c r="K114" s="4"/>
    </row>
    <row r="115" spans="1:11" x14ac:dyDescent="0.25">
      <c r="A115" t="s">
        <v>62</v>
      </c>
      <c r="B115" s="3">
        <v>1</v>
      </c>
      <c r="C115" s="4">
        <v>45</v>
      </c>
      <c r="D115" s="1">
        <v>45143</v>
      </c>
      <c r="E115" s="1">
        <v>45135</v>
      </c>
      <c r="F115" s="1"/>
      <c r="G115" s="16">
        <v>8.5</v>
      </c>
      <c r="H115" s="5"/>
      <c r="I115" s="6" t="s">
        <v>116</v>
      </c>
      <c r="J115" s="6" t="s">
        <v>102</v>
      </c>
      <c r="K115" s="4"/>
    </row>
    <row r="116" spans="1:11" x14ac:dyDescent="0.25">
      <c r="A116" t="s">
        <v>62</v>
      </c>
      <c r="B116" s="3">
        <v>1</v>
      </c>
      <c r="C116" s="4">
        <v>45</v>
      </c>
      <c r="D116" s="1">
        <v>45143</v>
      </c>
      <c r="E116" s="1">
        <v>45136</v>
      </c>
      <c r="F116" s="1"/>
      <c r="G116" s="16">
        <v>20.5</v>
      </c>
      <c r="H116" s="5"/>
      <c r="I116" s="6" t="s">
        <v>116</v>
      </c>
      <c r="J116" s="6" t="s">
        <v>102</v>
      </c>
      <c r="K116" s="4">
        <v>13.1</v>
      </c>
    </row>
    <row r="117" spans="1:11" x14ac:dyDescent="0.25">
      <c r="A117" t="s">
        <v>71</v>
      </c>
      <c r="B117" s="3">
        <v>1</v>
      </c>
      <c r="C117" s="4">
        <v>38</v>
      </c>
      <c r="D117" s="1">
        <v>45164</v>
      </c>
      <c r="E117" s="1">
        <v>45153</v>
      </c>
      <c r="F117" s="1"/>
      <c r="G117" s="16">
        <v>4.5</v>
      </c>
      <c r="H117" s="5"/>
      <c r="I117" s="6" t="s">
        <v>86</v>
      </c>
      <c r="J117" s="6" t="s">
        <v>87</v>
      </c>
      <c r="K117" s="4"/>
    </row>
    <row r="118" spans="1:11" x14ac:dyDescent="0.25">
      <c r="A118" t="s">
        <v>71</v>
      </c>
      <c r="B118" s="3">
        <v>1</v>
      </c>
      <c r="C118" s="4">
        <v>38</v>
      </c>
      <c r="D118" s="1">
        <v>45164</v>
      </c>
      <c r="E118" s="1">
        <v>45154</v>
      </c>
      <c r="F118" s="1"/>
      <c r="G118" s="16">
        <v>10</v>
      </c>
      <c r="H118" s="5"/>
      <c r="I118" s="6" t="s">
        <v>86</v>
      </c>
      <c r="J118" s="6" t="s">
        <v>87</v>
      </c>
      <c r="K118" s="4"/>
    </row>
    <row r="119" spans="1:11" x14ac:dyDescent="0.25">
      <c r="A119" t="s">
        <v>71</v>
      </c>
      <c r="B119" s="3">
        <v>1</v>
      </c>
      <c r="C119" s="4">
        <v>38</v>
      </c>
      <c r="D119" s="1">
        <v>45164</v>
      </c>
      <c r="E119" s="1">
        <v>45155</v>
      </c>
      <c r="F119" s="1"/>
      <c r="G119" s="16">
        <v>12</v>
      </c>
      <c r="H119" s="5"/>
      <c r="I119" s="6" t="s">
        <v>86</v>
      </c>
      <c r="J119" s="6" t="s">
        <v>87</v>
      </c>
      <c r="K119" s="4"/>
    </row>
    <row r="120" spans="1:11" x14ac:dyDescent="0.25">
      <c r="A120" t="s">
        <v>71</v>
      </c>
      <c r="B120" s="3">
        <v>1</v>
      </c>
      <c r="C120" s="4">
        <v>38</v>
      </c>
      <c r="D120" s="1">
        <v>45164</v>
      </c>
      <c r="E120" s="1">
        <v>45156</v>
      </c>
      <c r="F120" s="1"/>
      <c r="G120" s="16">
        <v>4</v>
      </c>
      <c r="H120" s="5"/>
      <c r="I120" s="6" t="s">
        <v>78</v>
      </c>
      <c r="J120" s="6" t="s">
        <v>79</v>
      </c>
      <c r="K120" s="4"/>
    </row>
    <row r="121" spans="1:11" x14ac:dyDescent="0.25">
      <c r="A121" t="s">
        <v>71</v>
      </c>
      <c r="B121" s="3">
        <v>1</v>
      </c>
      <c r="C121" s="4">
        <v>38</v>
      </c>
      <c r="D121" s="1">
        <v>45164</v>
      </c>
      <c r="E121" s="1">
        <v>45157</v>
      </c>
      <c r="F121" s="1"/>
      <c r="G121" s="16">
        <v>18.5</v>
      </c>
      <c r="H121" s="5"/>
      <c r="I121" s="6" t="s">
        <v>86</v>
      </c>
      <c r="J121" s="6" t="s">
        <v>87</v>
      </c>
      <c r="K121" s="4"/>
    </row>
    <row r="122" spans="1:11" x14ac:dyDescent="0.25">
      <c r="A122" t="s">
        <v>91</v>
      </c>
      <c r="B122" s="3">
        <v>1</v>
      </c>
      <c r="C122" s="4">
        <v>38</v>
      </c>
      <c r="D122" s="1">
        <v>45164</v>
      </c>
      <c r="E122" s="1">
        <v>45153</v>
      </c>
      <c r="F122" s="1"/>
      <c r="G122" s="16">
        <v>5</v>
      </c>
      <c r="H122" s="5"/>
      <c r="I122" s="6" t="s">
        <v>78</v>
      </c>
      <c r="J122" s="6" t="s">
        <v>79</v>
      </c>
      <c r="K122" s="4"/>
    </row>
    <row r="123" spans="1:11" x14ac:dyDescent="0.25">
      <c r="A123" t="s">
        <v>91</v>
      </c>
      <c r="B123" s="3">
        <v>1</v>
      </c>
      <c r="C123" s="4">
        <v>38</v>
      </c>
      <c r="D123" s="1">
        <v>45164</v>
      </c>
      <c r="E123" s="1">
        <v>45154</v>
      </c>
      <c r="F123" s="1"/>
      <c r="G123" s="16">
        <v>12.5</v>
      </c>
      <c r="H123" s="5"/>
      <c r="I123" s="6" t="s">
        <v>92</v>
      </c>
      <c r="J123" s="6" t="s">
        <v>79</v>
      </c>
      <c r="K123" s="4"/>
    </row>
    <row r="124" spans="1:11" x14ac:dyDescent="0.25">
      <c r="A124" t="s">
        <v>91</v>
      </c>
      <c r="B124" s="3">
        <v>1</v>
      </c>
      <c r="C124" s="4">
        <v>38</v>
      </c>
      <c r="D124" s="1">
        <v>45164</v>
      </c>
      <c r="E124" s="1">
        <v>45155</v>
      </c>
      <c r="F124" s="1"/>
      <c r="G124" s="16">
        <v>4.5</v>
      </c>
      <c r="H124" s="5"/>
      <c r="I124" s="6" t="s">
        <v>92</v>
      </c>
      <c r="J124" s="6" t="s">
        <v>79</v>
      </c>
      <c r="K124" s="4"/>
    </row>
    <row r="125" spans="1:11" x14ac:dyDescent="0.25">
      <c r="A125" t="s">
        <v>91</v>
      </c>
      <c r="B125" s="3">
        <v>1</v>
      </c>
      <c r="C125" s="4">
        <v>38</v>
      </c>
      <c r="D125" s="1">
        <v>45164</v>
      </c>
      <c r="E125" s="1">
        <v>45156</v>
      </c>
      <c r="F125" s="1"/>
      <c r="G125" s="16">
        <v>12</v>
      </c>
      <c r="H125" s="5"/>
      <c r="I125" s="6" t="s">
        <v>78</v>
      </c>
      <c r="J125" s="6" t="s">
        <v>79</v>
      </c>
      <c r="K125" s="4"/>
    </row>
    <row r="126" spans="1:11" x14ac:dyDescent="0.25">
      <c r="A126" t="s">
        <v>91</v>
      </c>
      <c r="B126" s="3">
        <v>1</v>
      </c>
      <c r="C126" s="4">
        <v>38</v>
      </c>
      <c r="D126" s="1">
        <v>45164</v>
      </c>
      <c r="E126" s="1">
        <v>45157</v>
      </c>
      <c r="F126" s="1"/>
      <c r="G126" s="16">
        <v>17.5</v>
      </c>
      <c r="H126" s="5"/>
      <c r="I126" s="6" t="s">
        <v>78</v>
      </c>
      <c r="J126" s="6" t="s">
        <v>79</v>
      </c>
      <c r="K126" s="4"/>
    </row>
    <row r="127" spans="1:11" x14ac:dyDescent="0.25">
      <c r="A127" t="s">
        <v>91</v>
      </c>
      <c r="B127" s="3">
        <v>1</v>
      </c>
      <c r="C127" s="4">
        <v>38</v>
      </c>
      <c r="D127" s="1">
        <v>45164</v>
      </c>
      <c r="E127" s="1">
        <v>45158</v>
      </c>
      <c r="F127" s="1"/>
      <c r="G127" s="16">
        <v>7</v>
      </c>
      <c r="H127" s="5"/>
      <c r="I127" s="6" t="s">
        <v>93</v>
      </c>
      <c r="J127" s="6" t="s">
        <v>94</v>
      </c>
      <c r="K127" s="4">
        <v>27.76</v>
      </c>
    </row>
    <row r="128" spans="1:11" x14ac:dyDescent="0.25">
      <c r="A128" t="s">
        <v>88</v>
      </c>
      <c r="B128" s="3">
        <v>0</v>
      </c>
      <c r="C128" s="4">
        <v>28</v>
      </c>
      <c r="D128" s="1">
        <v>45164</v>
      </c>
      <c r="E128" s="1">
        <v>45151</v>
      </c>
      <c r="F128" s="1"/>
      <c r="G128" s="16">
        <v>0</v>
      </c>
      <c r="H128" s="5"/>
      <c r="I128" s="6" t="s">
        <v>90</v>
      </c>
      <c r="J128" s="6"/>
      <c r="K128" s="4"/>
    </row>
    <row r="129" spans="1:11" x14ac:dyDescent="0.25">
      <c r="A129" t="s">
        <v>88</v>
      </c>
      <c r="B129" s="3">
        <v>0</v>
      </c>
      <c r="C129" s="4">
        <v>28</v>
      </c>
      <c r="D129" s="1">
        <v>45164</v>
      </c>
      <c r="E129" s="1">
        <v>45152</v>
      </c>
      <c r="F129" s="1"/>
      <c r="G129" s="16">
        <v>7</v>
      </c>
      <c r="H129" s="5"/>
      <c r="I129" s="6" t="s">
        <v>90</v>
      </c>
      <c r="J129" s="6"/>
      <c r="K129" s="4"/>
    </row>
    <row r="130" spans="1:11" x14ac:dyDescent="0.25">
      <c r="A130" t="s">
        <v>88</v>
      </c>
      <c r="B130" s="3">
        <v>0</v>
      </c>
      <c r="C130" s="4">
        <v>28</v>
      </c>
      <c r="D130" s="1">
        <v>45164</v>
      </c>
      <c r="E130" s="1">
        <v>45153</v>
      </c>
      <c r="F130" s="1"/>
      <c r="G130" s="16">
        <v>7</v>
      </c>
      <c r="H130" s="5"/>
      <c r="I130" s="6" t="s">
        <v>90</v>
      </c>
      <c r="J130" s="6"/>
      <c r="K130" s="4"/>
    </row>
    <row r="131" spans="1:11" x14ac:dyDescent="0.25">
      <c r="A131" t="s">
        <v>88</v>
      </c>
      <c r="B131" s="3">
        <v>0</v>
      </c>
      <c r="C131" s="4">
        <v>28</v>
      </c>
      <c r="D131" s="1">
        <v>45164</v>
      </c>
      <c r="E131" s="1">
        <v>45154</v>
      </c>
      <c r="F131" s="1"/>
      <c r="G131" s="16">
        <v>7</v>
      </c>
      <c r="H131" s="5"/>
      <c r="I131" s="6" t="s">
        <v>90</v>
      </c>
      <c r="J131" s="6"/>
      <c r="K131" s="4"/>
    </row>
    <row r="132" spans="1:11" x14ac:dyDescent="0.25">
      <c r="A132" t="s">
        <v>88</v>
      </c>
      <c r="B132" s="3">
        <v>0</v>
      </c>
      <c r="C132" s="4">
        <v>28</v>
      </c>
      <c r="D132" s="1">
        <v>45164</v>
      </c>
      <c r="E132" s="1">
        <v>45155</v>
      </c>
      <c r="F132" s="1"/>
      <c r="G132" s="16">
        <v>7</v>
      </c>
      <c r="H132" s="5"/>
      <c r="I132" s="6" t="s">
        <v>90</v>
      </c>
      <c r="J132" s="6"/>
      <c r="K132" s="4"/>
    </row>
    <row r="133" spans="1:11" x14ac:dyDescent="0.25">
      <c r="A133" t="s">
        <v>88</v>
      </c>
      <c r="B133" s="3">
        <v>0</v>
      </c>
      <c r="C133" s="4">
        <v>28</v>
      </c>
      <c r="D133" s="1">
        <v>45164</v>
      </c>
      <c r="E133" s="1">
        <v>45156</v>
      </c>
      <c r="F133" s="1"/>
      <c r="G133" s="16">
        <v>7</v>
      </c>
      <c r="H133" s="5"/>
      <c r="I133" s="6" t="s">
        <v>90</v>
      </c>
      <c r="J133" s="6"/>
      <c r="K133" s="4">
        <v>72.489999999999995</v>
      </c>
    </row>
    <row r="134" spans="1:11" x14ac:dyDescent="0.25">
      <c r="A134" t="s">
        <v>88</v>
      </c>
      <c r="B134" s="3">
        <v>0</v>
      </c>
      <c r="C134" s="4">
        <v>28</v>
      </c>
      <c r="D134" s="1">
        <v>45164</v>
      </c>
      <c r="E134" s="1">
        <v>45157</v>
      </c>
      <c r="F134" s="1"/>
      <c r="G134" s="16">
        <v>0</v>
      </c>
      <c r="H134" s="5"/>
      <c r="I134" s="6" t="s">
        <v>90</v>
      </c>
      <c r="J134" s="6"/>
      <c r="K134" s="4"/>
    </row>
    <row r="135" spans="1:11" x14ac:dyDescent="0.25">
      <c r="A135" t="s">
        <v>62</v>
      </c>
      <c r="B135" s="3">
        <v>1</v>
      </c>
      <c r="C135" s="4">
        <v>38</v>
      </c>
      <c r="D135" s="1">
        <v>45164</v>
      </c>
      <c r="E135" s="1">
        <v>45154</v>
      </c>
      <c r="F135" s="1"/>
      <c r="G135" s="16">
        <v>12</v>
      </c>
      <c r="H135" s="5"/>
      <c r="I135" s="6" t="s">
        <v>86</v>
      </c>
      <c r="J135" s="6" t="s">
        <v>87</v>
      </c>
      <c r="K135" s="4"/>
    </row>
    <row r="136" spans="1:11" x14ac:dyDescent="0.25">
      <c r="A136" t="s">
        <v>62</v>
      </c>
      <c r="B136" s="3">
        <v>1</v>
      </c>
      <c r="C136" s="4">
        <v>38</v>
      </c>
      <c r="D136" s="1">
        <v>45164</v>
      </c>
      <c r="E136" s="1">
        <v>45155</v>
      </c>
      <c r="F136" s="1"/>
      <c r="G136" s="16">
        <v>12</v>
      </c>
      <c r="H136" s="5"/>
      <c r="I136" s="6" t="s">
        <v>86</v>
      </c>
      <c r="J136" s="6" t="s">
        <v>87</v>
      </c>
      <c r="K136" s="4"/>
    </row>
    <row r="137" spans="1:11" x14ac:dyDescent="0.25">
      <c r="A137" t="s">
        <v>62</v>
      </c>
      <c r="B137" s="3">
        <v>1</v>
      </c>
      <c r="C137" s="4">
        <v>38</v>
      </c>
      <c r="D137" s="1">
        <v>45164</v>
      </c>
      <c r="E137" s="1">
        <v>45156</v>
      </c>
      <c r="F137" s="1"/>
      <c r="G137" s="16">
        <v>14</v>
      </c>
      <c r="H137" s="5"/>
      <c r="I137" s="6" t="s">
        <v>86</v>
      </c>
      <c r="J137" s="6" t="s">
        <v>87</v>
      </c>
      <c r="K137" s="4"/>
    </row>
    <row r="138" spans="1:11" x14ac:dyDescent="0.25">
      <c r="A138" t="s">
        <v>62</v>
      </c>
      <c r="B138" s="3">
        <v>1</v>
      </c>
      <c r="C138" s="4">
        <v>38</v>
      </c>
      <c r="D138" s="1">
        <v>45164</v>
      </c>
      <c r="E138" s="1">
        <v>45157</v>
      </c>
      <c r="F138" s="1"/>
      <c r="G138" s="16">
        <v>14</v>
      </c>
      <c r="H138" s="5"/>
      <c r="I138" s="6" t="s">
        <v>95</v>
      </c>
      <c r="J138" s="6" t="s">
        <v>96</v>
      </c>
      <c r="K138" s="4">
        <v>6.94</v>
      </c>
    </row>
    <row r="139" spans="1:11" x14ac:dyDescent="0.25">
      <c r="A139" t="s">
        <v>71</v>
      </c>
      <c r="B139" s="3">
        <v>1</v>
      </c>
      <c r="C139" s="4">
        <v>38</v>
      </c>
      <c r="D139" s="1">
        <v>45171</v>
      </c>
      <c r="E139" s="1">
        <v>45158</v>
      </c>
      <c r="F139" s="1"/>
      <c r="G139" s="16">
        <v>24</v>
      </c>
      <c r="H139" s="5"/>
      <c r="I139" s="6" t="s">
        <v>86</v>
      </c>
      <c r="J139" s="6" t="s">
        <v>87</v>
      </c>
      <c r="K139" s="4"/>
    </row>
    <row r="140" spans="1:11" x14ac:dyDescent="0.25">
      <c r="A140" t="s">
        <v>71</v>
      </c>
      <c r="B140" s="3">
        <v>1</v>
      </c>
      <c r="C140" s="4">
        <v>38</v>
      </c>
      <c r="D140" s="1">
        <v>45171</v>
      </c>
      <c r="E140" s="1">
        <v>45159</v>
      </c>
      <c r="F140" s="1"/>
      <c r="G140" s="16">
        <v>1</v>
      </c>
      <c r="H140" s="5"/>
      <c r="I140" s="6" t="s">
        <v>86</v>
      </c>
      <c r="J140" s="6" t="s">
        <v>87</v>
      </c>
      <c r="K140" s="4"/>
    </row>
    <row r="141" spans="1:11" x14ac:dyDescent="0.25">
      <c r="A141" t="s">
        <v>71</v>
      </c>
      <c r="B141" s="3">
        <v>1</v>
      </c>
      <c r="C141" s="4">
        <v>38</v>
      </c>
      <c r="D141" s="1">
        <v>45171</v>
      </c>
      <c r="E141" s="1">
        <v>45159</v>
      </c>
      <c r="F141" s="1"/>
      <c r="G141" s="16">
        <v>10</v>
      </c>
      <c r="H141" s="5"/>
      <c r="I141" s="6" t="s">
        <v>78</v>
      </c>
      <c r="J141" s="6" t="s">
        <v>79</v>
      </c>
      <c r="K141" s="4"/>
    </row>
    <row r="142" spans="1:11" x14ac:dyDescent="0.25">
      <c r="A142" t="s">
        <v>71</v>
      </c>
      <c r="B142" s="3">
        <v>1</v>
      </c>
      <c r="C142" s="4">
        <v>38</v>
      </c>
      <c r="D142" s="1">
        <v>45171</v>
      </c>
      <c r="E142" s="1">
        <v>45160</v>
      </c>
      <c r="F142" s="1"/>
      <c r="G142" s="16">
        <v>15</v>
      </c>
      <c r="H142" s="5"/>
      <c r="I142" s="6" t="s">
        <v>78</v>
      </c>
      <c r="J142" s="6" t="s">
        <v>79</v>
      </c>
      <c r="K142" s="4"/>
    </row>
    <row r="143" spans="1:11" x14ac:dyDescent="0.25">
      <c r="A143" t="s">
        <v>71</v>
      </c>
      <c r="B143" s="3">
        <v>1</v>
      </c>
      <c r="C143" s="4">
        <v>38</v>
      </c>
      <c r="D143" s="1">
        <v>45171</v>
      </c>
      <c r="E143" s="1">
        <v>45161</v>
      </c>
      <c r="F143" s="1"/>
      <c r="G143" s="16">
        <v>19.5</v>
      </c>
      <c r="H143" s="5"/>
      <c r="I143" s="6" t="s">
        <v>78</v>
      </c>
      <c r="J143" s="6" t="s">
        <v>79</v>
      </c>
      <c r="K143" s="4"/>
    </row>
    <row r="144" spans="1:11" x14ac:dyDescent="0.25">
      <c r="A144" t="s">
        <v>71</v>
      </c>
      <c r="B144" s="3">
        <v>1</v>
      </c>
      <c r="C144" s="4">
        <v>38</v>
      </c>
      <c r="D144" s="1">
        <v>45171</v>
      </c>
      <c r="E144" s="1">
        <v>45162</v>
      </c>
      <c r="F144" s="1"/>
      <c r="G144" s="16">
        <v>9</v>
      </c>
      <c r="H144" s="5"/>
      <c r="I144" s="6" t="s">
        <v>78</v>
      </c>
      <c r="J144" s="6" t="s">
        <v>79</v>
      </c>
      <c r="K144" s="4"/>
    </row>
    <row r="145" spans="1:11" x14ac:dyDescent="0.25">
      <c r="A145" t="s">
        <v>71</v>
      </c>
      <c r="B145" s="3">
        <v>1</v>
      </c>
      <c r="C145" s="4">
        <v>38</v>
      </c>
      <c r="D145" s="1">
        <v>45171</v>
      </c>
      <c r="E145" s="1">
        <v>45162</v>
      </c>
      <c r="F145" s="1"/>
      <c r="G145" s="16">
        <v>4.5</v>
      </c>
      <c r="H145" s="5"/>
      <c r="I145" s="6" t="s">
        <v>97</v>
      </c>
      <c r="J145" s="6" t="s">
        <v>98</v>
      </c>
      <c r="K145" s="4"/>
    </row>
    <row r="146" spans="1:11" x14ac:dyDescent="0.25">
      <c r="A146" t="s">
        <v>71</v>
      </c>
      <c r="B146" s="3">
        <v>1</v>
      </c>
      <c r="C146" s="4">
        <v>38</v>
      </c>
      <c r="D146" s="1">
        <v>45171</v>
      </c>
      <c r="E146" s="1">
        <v>45163</v>
      </c>
      <c r="F146" s="1"/>
      <c r="G146" s="16">
        <v>8.5</v>
      </c>
      <c r="H146" s="5"/>
      <c r="I146" s="6" t="s">
        <v>97</v>
      </c>
      <c r="J146" s="6" t="s">
        <v>98</v>
      </c>
      <c r="K146" s="4"/>
    </row>
    <row r="147" spans="1:11" x14ac:dyDescent="0.25">
      <c r="A147" t="s">
        <v>71</v>
      </c>
      <c r="B147" s="3">
        <v>1</v>
      </c>
      <c r="C147" s="4">
        <v>38</v>
      </c>
      <c r="D147" s="1">
        <v>45171</v>
      </c>
      <c r="E147" s="1">
        <v>45164</v>
      </c>
      <c r="F147" s="1"/>
      <c r="G147" s="16">
        <v>19</v>
      </c>
      <c r="H147" s="5"/>
      <c r="I147" s="6" t="s">
        <v>97</v>
      </c>
      <c r="J147" s="6" t="s">
        <v>98</v>
      </c>
      <c r="K147" s="4">
        <v>55.52</v>
      </c>
    </row>
    <row r="148" spans="1:11" x14ac:dyDescent="0.25">
      <c r="A148" t="s">
        <v>91</v>
      </c>
      <c r="B148" s="3">
        <v>1</v>
      </c>
      <c r="C148" s="4">
        <v>38</v>
      </c>
      <c r="D148" s="1">
        <v>45171</v>
      </c>
      <c r="E148" s="1">
        <v>45158</v>
      </c>
      <c r="F148" s="1"/>
      <c r="G148" s="16">
        <v>20</v>
      </c>
      <c r="H148" s="5"/>
      <c r="I148" s="6" t="s">
        <v>93</v>
      </c>
      <c r="J148" s="6" t="s">
        <v>94</v>
      </c>
      <c r="K148" s="4"/>
    </row>
    <row r="149" spans="1:11" x14ac:dyDescent="0.25">
      <c r="A149" t="s">
        <v>91</v>
      </c>
      <c r="B149" s="3">
        <v>1</v>
      </c>
      <c r="C149" s="4">
        <v>38</v>
      </c>
      <c r="D149" s="1">
        <v>45171</v>
      </c>
      <c r="E149" s="1">
        <v>45161</v>
      </c>
      <c r="F149" s="1"/>
      <c r="G149" s="16">
        <v>4.5</v>
      </c>
      <c r="H149" s="5"/>
      <c r="I149" s="6" t="s">
        <v>99</v>
      </c>
      <c r="J149" s="6" t="s">
        <v>100</v>
      </c>
      <c r="K149" s="4"/>
    </row>
    <row r="150" spans="1:11" x14ac:dyDescent="0.25">
      <c r="A150" t="s">
        <v>91</v>
      </c>
      <c r="B150" s="3">
        <v>1</v>
      </c>
      <c r="C150" s="4">
        <v>38</v>
      </c>
      <c r="D150" s="1">
        <v>45171</v>
      </c>
      <c r="E150" s="1">
        <v>45162</v>
      </c>
      <c r="F150" s="1"/>
      <c r="G150" s="16">
        <v>9</v>
      </c>
      <c r="H150" s="5"/>
      <c r="I150" s="6" t="s">
        <v>99</v>
      </c>
      <c r="J150" s="6" t="s">
        <v>100</v>
      </c>
      <c r="K150" s="4"/>
    </row>
    <row r="151" spans="1:11" x14ac:dyDescent="0.25">
      <c r="A151" t="s">
        <v>91</v>
      </c>
      <c r="B151" s="3">
        <v>1</v>
      </c>
      <c r="C151" s="4">
        <v>38</v>
      </c>
      <c r="D151" s="1">
        <v>45171</v>
      </c>
      <c r="E151" s="1">
        <v>45163</v>
      </c>
      <c r="F151" s="1"/>
      <c r="G151" s="16">
        <v>13.5</v>
      </c>
      <c r="H151" s="5"/>
      <c r="I151" s="6" t="s">
        <v>99</v>
      </c>
      <c r="J151" s="6" t="s">
        <v>100</v>
      </c>
      <c r="K151" s="4"/>
    </row>
    <row r="152" spans="1:11" x14ac:dyDescent="0.25">
      <c r="A152" t="s">
        <v>91</v>
      </c>
      <c r="B152" s="3">
        <v>1</v>
      </c>
      <c r="C152" s="4">
        <v>38</v>
      </c>
      <c r="D152" s="1">
        <v>45171</v>
      </c>
      <c r="E152" s="1">
        <v>45164</v>
      </c>
      <c r="F152" s="1"/>
      <c r="G152" s="16">
        <v>12.5</v>
      </c>
      <c r="H152" s="5"/>
      <c r="I152" s="6" t="s">
        <v>99</v>
      </c>
      <c r="J152" s="6" t="s">
        <v>100</v>
      </c>
      <c r="K152" s="4"/>
    </row>
    <row r="153" spans="1:11" x14ac:dyDescent="0.25">
      <c r="A153" t="s">
        <v>88</v>
      </c>
      <c r="B153" s="3">
        <v>0</v>
      </c>
      <c r="C153" s="4">
        <v>28</v>
      </c>
      <c r="D153" s="1">
        <v>45171</v>
      </c>
      <c r="E153" s="1">
        <v>45158</v>
      </c>
      <c r="F153" s="1"/>
      <c r="G153" s="16">
        <v>0</v>
      </c>
      <c r="H153" s="5"/>
      <c r="I153" s="6" t="s">
        <v>90</v>
      </c>
      <c r="J153" s="6"/>
      <c r="K153" s="4"/>
    </row>
    <row r="154" spans="1:11" x14ac:dyDescent="0.25">
      <c r="A154" t="s">
        <v>88</v>
      </c>
      <c r="B154" s="3">
        <v>0</v>
      </c>
      <c r="C154" s="4">
        <v>28</v>
      </c>
      <c r="D154" s="1">
        <v>45171</v>
      </c>
      <c r="E154" s="1">
        <v>45159</v>
      </c>
      <c r="F154" s="1"/>
      <c r="G154" s="16">
        <v>7</v>
      </c>
      <c r="H154" s="5"/>
      <c r="I154" s="6" t="s">
        <v>90</v>
      </c>
      <c r="J154" s="6"/>
      <c r="K154" s="4"/>
    </row>
    <row r="155" spans="1:11" x14ac:dyDescent="0.25">
      <c r="A155" t="s">
        <v>88</v>
      </c>
      <c r="B155" s="3">
        <v>0</v>
      </c>
      <c r="C155" s="4">
        <v>28</v>
      </c>
      <c r="D155" s="1">
        <v>45171</v>
      </c>
      <c r="E155" s="1">
        <v>45160</v>
      </c>
      <c r="F155" s="1"/>
      <c r="G155" s="16">
        <v>7</v>
      </c>
      <c r="H155" s="5"/>
      <c r="I155" s="6" t="s">
        <v>90</v>
      </c>
      <c r="J155" s="6"/>
      <c r="K155" s="4"/>
    </row>
    <row r="156" spans="1:11" x14ac:dyDescent="0.25">
      <c r="A156" t="s">
        <v>88</v>
      </c>
      <c r="B156" s="3">
        <v>0</v>
      </c>
      <c r="C156" s="4">
        <v>28</v>
      </c>
      <c r="D156" s="1">
        <v>45171</v>
      </c>
      <c r="E156" s="1">
        <v>45161</v>
      </c>
      <c r="F156" s="1"/>
      <c r="G156" s="16">
        <v>7</v>
      </c>
      <c r="H156" s="5"/>
      <c r="I156" s="6" t="s">
        <v>90</v>
      </c>
      <c r="J156" s="6"/>
      <c r="K156" s="4"/>
    </row>
    <row r="157" spans="1:11" x14ac:dyDescent="0.25">
      <c r="A157" t="s">
        <v>88</v>
      </c>
      <c r="B157" s="3">
        <v>0</v>
      </c>
      <c r="C157" s="4">
        <v>28</v>
      </c>
      <c r="D157" s="1">
        <v>45171</v>
      </c>
      <c r="E157" s="1">
        <v>45162</v>
      </c>
      <c r="F157" s="1"/>
      <c r="G157" s="16">
        <v>7</v>
      </c>
      <c r="H157" s="5"/>
      <c r="I157" s="6" t="s">
        <v>90</v>
      </c>
      <c r="J157" s="6"/>
      <c r="K157" s="4"/>
    </row>
    <row r="158" spans="1:11" x14ac:dyDescent="0.25">
      <c r="A158" t="s">
        <v>88</v>
      </c>
      <c r="B158" s="3">
        <v>0</v>
      </c>
      <c r="C158" s="4">
        <v>28</v>
      </c>
      <c r="D158" s="1">
        <v>45171</v>
      </c>
      <c r="E158" s="1">
        <v>45163</v>
      </c>
      <c r="F158" s="1"/>
      <c r="G158" s="16">
        <v>7</v>
      </c>
      <c r="H158" s="5"/>
      <c r="I158" s="6" t="s">
        <v>90</v>
      </c>
      <c r="J158" s="6"/>
      <c r="K158" s="4">
        <v>65.61</v>
      </c>
    </row>
    <row r="159" spans="1:11" x14ac:dyDescent="0.25">
      <c r="A159" t="s">
        <v>88</v>
      </c>
      <c r="B159" s="3">
        <v>0</v>
      </c>
      <c r="C159" s="4">
        <v>28</v>
      </c>
      <c r="D159" s="1">
        <v>45171</v>
      </c>
      <c r="E159" s="1">
        <v>45164</v>
      </c>
      <c r="F159" s="1"/>
      <c r="G159" s="16">
        <v>0</v>
      </c>
      <c r="H159" s="5"/>
      <c r="I159" s="6" t="s">
        <v>90</v>
      </c>
      <c r="J159" s="6"/>
      <c r="K159" s="4"/>
    </row>
    <row r="160" spans="1:11" x14ac:dyDescent="0.25">
      <c r="A160" t="s">
        <v>62</v>
      </c>
      <c r="B160" s="3">
        <v>1</v>
      </c>
      <c r="C160" s="4">
        <v>38</v>
      </c>
      <c r="D160" s="1">
        <v>45171</v>
      </c>
      <c r="E160" s="1">
        <v>45158</v>
      </c>
      <c r="F160" s="1"/>
      <c r="G160" s="16">
        <v>15.5</v>
      </c>
      <c r="H160" s="5"/>
      <c r="I160" s="6" t="s">
        <v>95</v>
      </c>
      <c r="J160" s="6" t="s">
        <v>96</v>
      </c>
      <c r="K160" s="4"/>
    </row>
    <row r="161" spans="1:11" x14ac:dyDescent="0.25">
      <c r="A161" t="s">
        <v>62</v>
      </c>
      <c r="B161" s="3">
        <v>1</v>
      </c>
      <c r="C161" s="4">
        <v>38</v>
      </c>
      <c r="D161" s="1">
        <v>45171</v>
      </c>
      <c r="E161" s="1">
        <v>45159</v>
      </c>
      <c r="F161" s="1"/>
      <c r="G161" s="16">
        <v>9</v>
      </c>
      <c r="H161" s="5"/>
      <c r="I161" s="6" t="s">
        <v>86</v>
      </c>
      <c r="J161" s="6" t="s">
        <v>87</v>
      </c>
      <c r="K161" s="4"/>
    </row>
    <row r="162" spans="1:11" x14ac:dyDescent="0.25">
      <c r="A162" t="s">
        <v>62</v>
      </c>
      <c r="B162" s="3">
        <v>1</v>
      </c>
      <c r="C162" s="4">
        <v>38</v>
      </c>
      <c r="D162" s="1">
        <v>45171</v>
      </c>
      <c r="E162" s="1">
        <v>45163</v>
      </c>
      <c r="F162" s="1"/>
      <c r="G162" s="16">
        <v>10.5</v>
      </c>
      <c r="H162" s="5"/>
      <c r="I162" s="6" t="s">
        <v>101</v>
      </c>
      <c r="J162" s="6" t="s">
        <v>102</v>
      </c>
      <c r="K162" s="4"/>
    </row>
    <row r="163" spans="1:11" x14ac:dyDescent="0.25">
      <c r="A163" t="s">
        <v>62</v>
      </c>
      <c r="B163" s="3">
        <v>1</v>
      </c>
      <c r="C163" s="4">
        <v>38</v>
      </c>
      <c r="D163" s="1">
        <v>45171</v>
      </c>
      <c r="E163" s="1">
        <v>45164</v>
      </c>
      <c r="F163" s="1"/>
      <c r="G163" s="16">
        <v>20.5</v>
      </c>
      <c r="H163" s="5"/>
      <c r="I163" s="6" t="s">
        <v>101</v>
      </c>
      <c r="J163" s="6" t="s">
        <v>102</v>
      </c>
      <c r="K163" s="4">
        <v>20.82</v>
      </c>
    </row>
    <row r="164" spans="1:11" x14ac:dyDescent="0.25">
      <c r="A164" t="s">
        <v>71</v>
      </c>
      <c r="B164" s="3">
        <v>1</v>
      </c>
      <c r="C164" s="4">
        <v>38</v>
      </c>
      <c r="D164" s="1">
        <v>45282</v>
      </c>
      <c r="E164" s="1">
        <v>45270</v>
      </c>
      <c r="F164" s="1"/>
      <c r="G164" s="16">
        <v>9.5</v>
      </c>
      <c r="H164" s="5"/>
      <c r="I164" s="6" t="s">
        <v>432</v>
      </c>
      <c r="J164" s="6" t="s">
        <v>275</v>
      </c>
      <c r="K164" s="4"/>
    </row>
    <row r="165" spans="1:11" x14ac:dyDescent="0.25">
      <c r="A165" t="s">
        <v>71</v>
      </c>
      <c r="B165" s="3">
        <v>1</v>
      </c>
      <c r="C165" s="4">
        <v>38</v>
      </c>
      <c r="D165" s="1">
        <v>45282</v>
      </c>
      <c r="E165" s="1">
        <v>45274</v>
      </c>
      <c r="F165" s="1"/>
      <c r="G165" s="16">
        <v>6</v>
      </c>
      <c r="H165" s="5"/>
      <c r="I165" s="6" t="s">
        <v>433</v>
      </c>
      <c r="J165" s="6" t="s">
        <v>434</v>
      </c>
      <c r="K165" s="4"/>
    </row>
    <row r="166" spans="1:11" x14ac:dyDescent="0.25">
      <c r="A166" t="s">
        <v>71</v>
      </c>
      <c r="B166" s="3">
        <v>1</v>
      </c>
      <c r="C166" s="4">
        <v>38</v>
      </c>
      <c r="D166" s="1">
        <v>45282</v>
      </c>
      <c r="E166" s="1">
        <v>45275</v>
      </c>
      <c r="F166" s="1"/>
      <c r="G166" s="16">
        <v>6.5</v>
      </c>
      <c r="H166" s="5"/>
      <c r="I166" s="6" t="s">
        <v>433</v>
      </c>
      <c r="J166" s="6" t="s">
        <v>434</v>
      </c>
      <c r="K166" s="4"/>
    </row>
    <row r="167" spans="1:11" x14ac:dyDescent="0.25">
      <c r="A167" t="s">
        <v>71</v>
      </c>
      <c r="B167" s="3">
        <v>1</v>
      </c>
      <c r="C167" s="4">
        <v>38</v>
      </c>
      <c r="D167" s="1">
        <v>45282</v>
      </c>
      <c r="E167" s="1">
        <v>45276</v>
      </c>
      <c r="F167" s="1"/>
      <c r="G167" s="16">
        <v>17</v>
      </c>
      <c r="H167" s="5"/>
      <c r="I167" s="6" t="s">
        <v>433</v>
      </c>
      <c r="J167" s="6" t="s">
        <v>434</v>
      </c>
      <c r="K167" s="4"/>
    </row>
    <row r="168" spans="1:11" x14ac:dyDescent="0.25">
      <c r="A168" t="s">
        <v>71</v>
      </c>
      <c r="B168" s="3">
        <v>1</v>
      </c>
      <c r="C168" s="4">
        <v>38</v>
      </c>
      <c r="D168" s="1">
        <v>45282</v>
      </c>
      <c r="E168" s="1">
        <v>45276</v>
      </c>
      <c r="F168" s="1"/>
      <c r="G168" s="16">
        <v>6.5</v>
      </c>
      <c r="H168" s="5"/>
      <c r="I168" s="6" t="s">
        <v>201</v>
      </c>
      <c r="J168" s="6" t="s">
        <v>94</v>
      </c>
      <c r="K168" s="4">
        <v>13.88</v>
      </c>
    </row>
    <row r="169" spans="1:11" x14ac:dyDescent="0.25">
      <c r="A169" t="s">
        <v>71</v>
      </c>
      <c r="B169" s="3">
        <v>1</v>
      </c>
      <c r="C169" s="4">
        <v>38</v>
      </c>
      <c r="D169" s="1">
        <v>45294</v>
      </c>
      <c r="E169" s="1">
        <v>45287</v>
      </c>
      <c r="F169" s="1"/>
      <c r="G169" s="16">
        <v>4</v>
      </c>
      <c r="H169" s="5"/>
      <c r="I169" s="6" t="s">
        <v>630</v>
      </c>
      <c r="J169" s="6" t="s">
        <v>437</v>
      </c>
      <c r="K169" s="4"/>
    </row>
    <row r="170" spans="1:11" x14ac:dyDescent="0.25">
      <c r="A170" t="s">
        <v>71</v>
      </c>
      <c r="B170" s="3">
        <v>1</v>
      </c>
      <c r="C170" s="4">
        <v>38</v>
      </c>
      <c r="D170" s="1">
        <v>45294</v>
      </c>
      <c r="E170" s="1">
        <v>45288</v>
      </c>
      <c r="F170" s="1"/>
      <c r="G170" s="16">
        <v>2</v>
      </c>
      <c r="H170" s="5"/>
      <c r="I170" s="6" t="s">
        <v>630</v>
      </c>
      <c r="J170" s="6" t="s">
        <v>438</v>
      </c>
      <c r="K170" s="4"/>
    </row>
    <row r="171" spans="1:11" x14ac:dyDescent="0.25">
      <c r="A171" t="s">
        <v>71</v>
      </c>
      <c r="B171" s="3">
        <v>1</v>
      </c>
      <c r="C171" s="4">
        <v>38</v>
      </c>
      <c r="D171" s="1">
        <v>45294</v>
      </c>
      <c r="E171" s="1">
        <v>45288</v>
      </c>
      <c r="F171" s="1"/>
      <c r="G171" s="16">
        <v>4</v>
      </c>
      <c r="H171" s="5"/>
      <c r="I171" s="6" t="s">
        <v>630</v>
      </c>
      <c r="J171" s="6" t="s">
        <v>437</v>
      </c>
      <c r="K171" s="4"/>
    </row>
    <row r="172" spans="1:11" x14ac:dyDescent="0.25">
      <c r="A172" t="s">
        <v>142</v>
      </c>
      <c r="B172" s="3">
        <v>3</v>
      </c>
      <c r="C172" s="4">
        <v>45</v>
      </c>
      <c r="D172" s="1">
        <v>45294</v>
      </c>
      <c r="E172" s="1">
        <v>45289</v>
      </c>
      <c r="F172" s="1"/>
      <c r="G172" s="16">
        <v>3.5</v>
      </c>
      <c r="H172" s="5"/>
      <c r="I172" s="6" t="s">
        <v>630</v>
      </c>
      <c r="J172" s="6" t="s">
        <v>439</v>
      </c>
      <c r="K172" s="4"/>
    </row>
    <row r="173" spans="1:11" x14ac:dyDescent="0.25">
      <c r="A173" t="s">
        <v>142</v>
      </c>
      <c r="B173" s="3">
        <v>3</v>
      </c>
      <c r="C173" s="4">
        <v>45</v>
      </c>
      <c r="D173" s="1">
        <v>45294</v>
      </c>
      <c r="E173" s="1">
        <v>45289</v>
      </c>
      <c r="F173" s="1"/>
      <c r="G173" s="16">
        <v>4.5</v>
      </c>
      <c r="H173" s="5"/>
      <c r="I173" s="6" t="s">
        <v>630</v>
      </c>
      <c r="J173" s="6" t="s">
        <v>440</v>
      </c>
      <c r="K173" s="4"/>
    </row>
    <row r="174" spans="1:11" x14ac:dyDescent="0.25">
      <c r="A174" t="s">
        <v>142</v>
      </c>
      <c r="B174" s="3">
        <v>3</v>
      </c>
      <c r="C174" s="4">
        <v>45</v>
      </c>
      <c r="D174" s="1">
        <v>45294</v>
      </c>
      <c r="E174" s="1">
        <v>45289</v>
      </c>
      <c r="F174" s="1"/>
      <c r="G174" s="16">
        <v>4</v>
      </c>
      <c r="H174" s="5"/>
      <c r="I174" s="6" t="s">
        <v>630</v>
      </c>
      <c r="J174" s="6" t="s">
        <v>441</v>
      </c>
      <c r="K174" s="4"/>
    </row>
    <row r="175" spans="1:11" x14ac:dyDescent="0.25">
      <c r="A175" t="s">
        <v>91</v>
      </c>
      <c r="B175" s="3">
        <v>1</v>
      </c>
      <c r="C175" s="4">
        <v>38</v>
      </c>
      <c r="D175" s="1">
        <v>45227</v>
      </c>
      <c r="E175" s="1">
        <v>45218</v>
      </c>
      <c r="F175" s="1">
        <v>45220</v>
      </c>
      <c r="G175" s="16">
        <v>6.5</v>
      </c>
      <c r="H175" s="16"/>
      <c r="I175" s="6" t="s">
        <v>217</v>
      </c>
      <c r="J175" s="6" t="s">
        <v>218</v>
      </c>
      <c r="K175" s="4"/>
    </row>
    <row r="176" spans="1:11" x14ac:dyDescent="0.25">
      <c r="A176" t="s">
        <v>91</v>
      </c>
      <c r="B176" s="3">
        <v>1</v>
      </c>
      <c r="C176" s="4">
        <v>38</v>
      </c>
      <c r="D176" s="1">
        <v>45227</v>
      </c>
      <c r="E176" s="1">
        <v>45219</v>
      </c>
      <c r="F176" s="1">
        <v>45220</v>
      </c>
      <c r="G176" s="16">
        <v>7</v>
      </c>
      <c r="H176" s="16"/>
      <c r="I176" s="6" t="s">
        <v>217</v>
      </c>
      <c r="J176" s="6" t="s">
        <v>218</v>
      </c>
      <c r="K176" s="4">
        <v>6.94</v>
      </c>
    </row>
    <row r="177" spans="1:12" x14ac:dyDescent="0.25">
      <c r="A177" t="s">
        <v>91</v>
      </c>
      <c r="B177" s="3">
        <v>1</v>
      </c>
      <c r="C177" s="4">
        <v>38</v>
      </c>
      <c r="D177" s="1">
        <v>45227</v>
      </c>
      <c r="E177" s="1">
        <v>45220</v>
      </c>
      <c r="F177" s="1">
        <v>45220</v>
      </c>
      <c r="G177" s="16">
        <v>20</v>
      </c>
      <c r="H177" s="16"/>
      <c r="I177" s="6" t="s">
        <v>217</v>
      </c>
      <c r="J177" s="6" t="s">
        <v>218</v>
      </c>
      <c r="K177" s="4"/>
    </row>
    <row r="178" spans="1:12" x14ac:dyDescent="0.25">
      <c r="A178" t="s">
        <v>62</v>
      </c>
      <c r="B178" s="3">
        <v>1</v>
      </c>
      <c r="C178" s="4">
        <v>38</v>
      </c>
      <c r="D178" s="1">
        <v>45227</v>
      </c>
      <c r="E178" s="1">
        <v>45219</v>
      </c>
      <c r="F178" s="1">
        <v>45220</v>
      </c>
      <c r="G178" s="16">
        <v>7</v>
      </c>
      <c r="H178" s="16"/>
      <c r="I178" s="6" t="s">
        <v>217</v>
      </c>
      <c r="J178" s="6" t="s">
        <v>218</v>
      </c>
      <c r="K178" s="4">
        <v>9.94</v>
      </c>
    </row>
    <row r="179" spans="1:12" x14ac:dyDescent="0.25">
      <c r="A179" t="s">
        <v>62</v>
      </c>
      <c r="B179" s="3">
        <v>1</v>
      </c>
      <c r="C179" s="4">
        <v>38</v>
      </c>
      <c r="D179" s="1">
        <v>45227</v>
      </c>
      <c r="E179" s="1">
        <v>45220</v>
      </c>
      <c r="F179" s="1">
        <v>45220</v>
      </c>
      <c r="G179" s="16">
        <v>20</v>
      </c>
      <c r="H179" s="16"/>
      <c r="I179" s="6" t="s">
        <v>217</v>
      </c>
      <c r="J179" s="6" t="s">
        <v>218</v>
      </c>
      <c r="K179" s="4">
        <v>20.82</v>
      </c>
    </row>
    <row r="180" spans="1:12" x14ac:dyDescent="0.25">
      <c r="A180" s="31" t="s">
        <v>142</v>
      </c>
      <c r="B180" s="18">
        <v>3</v>
      </c>
      <c r="C180" s="19">
        <v>45</v>
      </c>
      <c r="D180" s="20">
        <v>45717</v>
      </c>
      <c r="E180" s="20">
        <v>45698</v>
      </c>
      <c r="F180" s="20">
        <v>45703</v>
      </c>
      <c r="G180" s="21">
        <v>9</v>
      </c>
      <c r="H180" s="21"/>
      <c r="I180" s="22" t="s">
        <v>1886</v>
      </c>
      <c r="J180" s="22" t="s">
        <v>218</v>
      </c>
      <c r="K180" s="19"/>
      <c r="L180" s="17"/>
    </row>
    <row r="181" spans="1:12" x14ac:dyDescent="0.25">
      <c r="A181" s="31" t="s">
        <v>142</v>
      </c>
      <c r="B181" s="18">
        <v>1</v>
      </c>
      <c r="C181" s="19">
        <v>38</v>
      </c>
      <c r="D181" s="20">
        <v>45759</v>
      </c>
      <c r="E181" s="20">
        <v>45743</v>
      </c>
      <c r="F181" s="20">
        <v>45745</v>
      </c>
      <c r="G181" s="21">
        <v>5</v>
      </c>
      <c r="H181" s="21"/>
      <c r="I181" s="22" t="s">
        <v>1886</v>
      </c>
      <c r="J181" s="22" t="s">
        <v>218</v>
      </c>
      <c r="K181" s="19"/>
      <c r="L181" s="17"/>
    </row>
    <row r="182" spans="1:12" x14ac:dyDescent="0.25">
      <c r="A182" s="31" t="s">
        <v>142</v>
      </c>
      <c r="B182" s="18">
        <v>1</v>
      </c>
      <c r="C182" s="19">
        <v>38</v>
      </c>
      <c r="D182" s="20">
        <v>45759</v>
      </c>
      <c r="E182" s="20">
        <v>45744</v>
      </c>
      <c r="F182" s="20">
        <v>45745</v>
      </c>
      <c r="G182" s="21">
        <v>6.5</v>
      </c>
      <c r="H182" s="21"/>
      <c r="I182" s="22" t="s">
        <v>1886</v>
      </c>
      <c r="J182" s="22" t="s">
        <v>218</v>
      </c>
      <c r="K182" s="19"/>
      <c r="L182" s="17"/>
    </row>
    <row r="183" spans="1:12" x14ac:dyDescent="0.25">
      <c r="A183" s="31" t="s">
        <v>142</v>
      </c>
      <c r="B183" s="18">
        <v>1</v>
      </c>
      <c r="C183" s="19">
        <v>38</v>
      </c>
      <c r="D183" s="20">
        <v>45759</v>
      </c>
      <c r="E183" s="20">
        <v>45745</v>
      </c>
      <c r="F183" s="20">
        <v>45745</v>
      </c>
      <c r="G183" s="21">
        <v>21</v>
      </c>
      <c r="H183" s="21"/>
      <c r="I183" s="22" t="s">
        <v>1886</v>
      </c>
      <c r="J183" s="22" t="s">
        <v>218</v>
      </c>
      <c r="K183" s="19">
        <v>27.76</v>
      </c>
      <c r="L183" s="17"/>
    </row>
    <row r="184" spans="1:12" x14ac:dyDescent="0.25">
      <c r="A184" s="31" t="s">
        <v>142</v>
      </c>
      <c r="B184" s="18">
        <v>1</v>
      </c>
      <c r="C184" s="19">
        <v>38</v>
      </c>
      <c r="D184" s="20">
        <v>45759</v>
      </c>
      <c r="E184" s="20">
        <v>45750</v>
      </c>
      <c r="F184" s="20">
        <v>45752</v>
      </c>
      <c r="G184" s="21">
        <v>6</v>
      </c>
      <c r="H184" s="21"/>
      <c r="I184" s="22" t="s">
        <v>1886</v>
      </c>
      <c r="J184" s="22" t="s">
        <v>218</v>
      </c>
      <c r="K184" s="19"/>
      <c r="L184" s="17"/>
    </row>
    <row r="185" spans="1:12" x14ac:dyDescent="0.25">
      <c r="A185" s="31" t="s">
        <v>142</v>
      </c>
      <c r="B185" s="18">
        <v>1</v>
      </c>
      <c r="C185" s="19">
        <v>38</v>
      </c>
      <c r="D185" s="20">
        <v>45759</v>
      </c>
      <c r="E185" s="20">
        <v>45751</v>
      </c>
      <c r="F185" s="20">
        <v>45752</v>
      </c>
      <c r="G185" s="21">
        <v>6.5</v>
      </c>
      <c r="H185" s="21"/>
      <c r="I185" s="22" t="s">
        <v>1886</v>
      </c>
      <c r="J185" s="22" t="s">
        <v>218</v>
      </c>
      <c r="K185" s="19"/>
      <c r="L185" s="17"/>
    </row>
    <row r="186" spans="1:12" x14ac:dyDescent="0.25">
      <c r="A186" s="31" t="s">
        <v>142</v>
      </c>
      <c r="B186" s="18">
        <v>1</v>
      </c>
      <c r="C186" s="19">
        <v>38</v>
      </c>
      <c r="D186" s="20">
        <v>45759</v>
      </c>
      <c r="E186" s="20">
        <v>45752</v>
      </c>
      <c r="F186" s="20">
        <v>45752</v>
      </c>
      <c r="G186" s="21">
        <v>20.5</v>
      </c>
      <c r="H186" s="21"/>
      <c r="I186" s="22" t="s">
        <v>1886</v>
      </c>
      <c r="J186" s="22" t="s">
        <v>218</v>
      </c>
      <c r="K186" s="19">
        <v>34.700000000000003</v>
      </c>
      <c r="L186" s="17"/>
    </row>
    <row r="187" spans="1:12" x14ac:dyDescent="0.25">
      <c r="A187" s="31" t="s">
        <v>118</v>
      </c>
      <c r="B187" s="18">
        <v>1</v>
      </c>
      <c r="C187" s="19">
        <v>33</v>
      </c>
      <c r="D187" s="20">
        <v>45780</v>
      </c>
      <c r="E187" s="20">
        <v>45744</v>
      </c>
      <c r="F187" s="20">
        <v>45745</v>
      </c>
      <c r="G187" s="21">
        <v>5</v>
      </c>
      <c r="H187" s="21"/>
      <c r="I187" s="22" t="s">
        <v>1886</v>
      </c>
      <c r="J187" s="22" t="s">
        <v>218</v>
      </c>
      <c r="K187" s="19"/>
      <c r="L187" s="17"/>
    </row>
    <row r="188" spans="1:12" x14ac:dyDescent="0.25">
      <c r="A188" s="31" t="s">
        <v>118</v>
      </c>
      <c r="B188" s="18">
        <v>1</v>
      </c>
      <c r="C188" s="19">
        <v>33</v>
      </c>
      <c r="D188" s="20">
        <v>45780</v>
      </c>
      <c r="E188" s="20">
        <v>45745</v>
      </c>
      <c r="F188" s="20">
        <v>45745</v>
      </c>
      <c r="G188" s="21">
        <v>14</v>
      </c>
      <c r="H188" s="21"/>
      <c r="I188" s="22" t="s">
        <v>1886</v>
      </c>
      <c r="J188" s="22" t="s">
        <v>218</v>
      </c>
      <c r="K188" s="19"/>
      <c r="L188" s="17"/>
    </row>
    <row r="189" spans="1:12" x14ac:dyDescent="0.25">
      <c r="A189" s="31" t="s">
        <v>118</v>
      </c>
      <c r="B189" s="18">
        <v>1</v>
      </c>
      <c r="C189" s="19">
        <v>33</v>
      </c>
      <c r="D189" s="20">
        <v>45780</v>
      </c>
      <c r="E189" s="20">
        <v>45746</v>
      </c>
      <c r="F189" s="20">
        <v>45752</v>
      </c>
      <c r="G189" s="21">
        <v>15</v>
      </c>
      <c r="H189" s="21"/>
      <c r="I189" s="22" t="s">
        <v>1886</v>
      </c>
      <c r="J189" s="22" t="s">
        <v>218</v>
      </c>
      <c r="K189" s="19">
        <v>9</v>
      </c>
      <c r="L189" s="17"/>
    </row>
    <row r="190" spans="1:12" x14ac:dyDescent="0.25">
      <c r="A190" s="31" t="s">
        <v>118</v>
      </c>
      <c r="B190" s="18">
        <v>1</v>
      </c>
      <c r="C190" s="19">
        <v>33</v>
      </c>
      <c r="D190" s="20">
        <v>45780</v>
      </c>
      <c r="E190" s="20">
        <v>45752</v>
      </c>
      <c r="F190" s="20">
        <v>45752</v>
      </c>
      <c r="G190" s="21">
        <v>14</v>
      </c>
      <c r="H190" s="21"/>
      <c r="I190" s="22" t="s">
        <v>1886</v>
      </c>
      <c r="J190" s="22" t="s">
        <v>218</v>
      </c>
      <c r="K190" s="19"/>
      <c r="L190" s="17"/>
    </row>
    <row r="191" spans="1:12" x14ac:dyDescent="0.25">
      <c r="A191" s="31" t="s">
        <v>118</v>
      </c>
      <c r="B191" s="18">
        <v>1</v>
      </c>
      <c r="C191" s="19">
        <v>33</v>
      </c>
      <c r="D191" s="20">
        <v>45780</v>
      </c>
      <c r="E191" s="20">
        <v>45753</v>
      </c>
      <c r="F191" s="20">
        <v>45759</v>
      </c>
      <c r="G191" s="21">
        <v>15</v>
      </c>
      <c r="H191" s="21"/>
      <c r="I191" s="22" t="s">
        <v>1886</v>
      </c>
      <c r="J191" s="22" t="s">
        <v>218</v>
      </c>
      <c r="K191" s="19">
        <v>9</v>
      </c>
      <c r="L191" s="17"/>
    </row>
    <row r="192" spans="1:12" x14ac:dyDescent="0.25">
      <c r="A192" s="31" t="s">
        <v>118</v>
      </c>
      <c r="B192" s="18">
        <v>1</v>
      </c>
      <c r="C192" s="19">
        <v>33</v>
      </c>
      <c r="D192" s="20">
        <v>45780</v>
      </c>
      <c r="E192" s="20">
        <v>45757</v>
      </c>
      <c r="F192" s="20">
        <v>45759</v>
      </c>
      <c r="G192" s="21">
        <v>5</v>
      </c>
      <c r="H192" s="21"/>
      <c r="I192" s="22" t="s">
        <v>1886</v>
      </c>
      <c r="J192" s="22" t="s">
        <v>218</v>
      </c>
      <c r="K192" s="19"/>
      <c r="L192" s="17"/>
    </row>
    <row r="193" spans="1:12" x14ac:dyDescent="0.25">
      <c r="A193" s="31" t="s">
        <v>118</v>
      </c>
      <c r="B193" s="18">
        <v>1</v>
      </c>
      <c r="C193" s="19">
        <v>33</v>
      </c>
      <c r="D193" s="20">
        <v>45780</v>
      </c>
      <c r="E193" s="20">
        <v>45758</v>
      </c>
      <c r="F193" s="20">
        <v>45759</v>
      </c>
      <c r="G193" s="21">
        <v>5.5</v>
      </c>
      <c r="H193" s="21"/>
      <c r="I193" s="22" t="s">
        <v>1886</v>
      </c>
      <c r="J193" s="22" t="s">
        <v>218</v>
      </c>
      <c r="K193" s="19"/>
      <c r="L193" s="17"/>
    </row>
    <row r="194" spans="1:12" x14ac:dyDescent="0.25">
      <c r="A194" s="31" t="s">
        <v>118</v>
      </c>
      <c r="B194" s="18">
        <v>1</v>
      </c>
      <c r="C194" s="19">
        <v>33</v>
      </c>
      <c r="D194" s="20">
        <v>45780</v>
      </c>
      <c r="E194" s="20">
        <v>45759</v>
      </c>
      <c r="F194" s="20">
        <v>45759</v>
      </c>
      <c r="G194" s="21">
        <v>16.5</v>
      </c>
      <c r="H194" s="21"/>
      <c r="I194" s="22" t="s">
        <v>1886</v>
      </c>
      <c r="J194" s="22" t="s">
        <v>218</v>
      </c>
      <c r="K194" s="19"/>
      <c r="L194" s="17"/>
    </row>
    <row r="195" spans="1:12" x14ac:dyDescent="0.25">
      <c r="A195" s="31" t="s">
        <v>11</v>
      </c>
      <c r="B195" s="18">
        <v>1</v>
      </c>
      <c r="C195" s="19">
        <v>30</v>
      </c>
      <c r="D195" s="20">
        <v>45800</v>
      </c>
      <c r="E195" s="20">
        <v>45696</v>
      </c>
      <c r="F195" s="20">
        <v>45696</v>
      </c>
      <c r="G195" s="21">
        <v>7.5</v>
      </c>
      <c r="H195" s="21"/>
      <c r="I195" s="22" t="s">
        <v>1886</v>
      </c>
      <c r="J195" s="22" t="s">
        <v>218</v>
      </c>
      <c r="K195" s="19">
        <v>6.95</v>
      </c>
      <c r="L195" s="17"/>
    </row>
    <row r="196" spans="1:12" x14ac:dyDescent="0.25">
      <c r="A196" s="31" t="s">
        <v>11</v>
      </c>
      <c r="B196" s="18">
        <v>1</v>
      </c>
      <c r="C196" s="19">
        <v>30</v>
      </c>
      <c r="D196" s="20">
        <v>45800</v>
      </c>
      <c r="E196" s="20">
        <v>45697</v>
      </c>
      <c r="F196" s="20">
        <v>45703</v>
      </c>
      <c r="G196" s="21">
        <v>8.5</v>
      </c>
      <c r="H196" s="21"/>
      <c r="I196" s="22" t="s">
        <v>1886</v>
      </c>
      <c r="J196" s="22" t="s">
        <v>218</v>
      </c>
      <c r="K196" s="19">
        <v>6.95</v>
      </c>
      <c r="L196" s="17"/>
    </row>
    <row r="197" spans="1:12" x14ac:dyDescent="0.25">
      <c r="A197" t="s">
        <v>71</v>
      </c>
      <c r="B197" s="3">
        <v>1</v>
      </c>
      <c r="C197" s="4">
        <v>38</v>
      </c>
      <c r="D197" s="1">
        <v>45625</v>
      </c>
      <c r="E197" s="1">
        <v>45613</v>
      </c>
      <c r="F197" s="1">
        <v>45619</v>
      </c>
      <c r="G197" s="16">
        <v>16</v>
      </c>
      <c r="H197" s="23"/>
      <c r="I197" s="24" t="s">
        <v>1624</v>
      </c>
      <c r="J197" s="6" t="s">
        <v>1764</v>
      </c>
      <c r="K197" s="4"/>
    </row>
    <row r="198" spans="1:12" x14ac:dyDescent="0.25">
      <c r="A198" t="s">
        <v>142</v>
      </c>
      <c r="B198" s="3">
        <v>1</v>
      </c>
      <c r="C198" s="4">
        <v>38</v>
      </c>
      <c r="D198" s="1">
        <v>45632</v>
      </c>
      <c r="E198" s="1">
        <v>45618</v>
      </c>
      <c r="F198" s="1">
        <v>45619</v>
      </c>
      <c r="G198" s="16">
        <v>7.5</v>
      </c>
      <c r="H198" s="23"/>
      <c r="I198" s="24" t="s">
        <v>1624</v>
      </c>
      <c r="J198" s="6" t="s">
        <v>1764</v>
      </c>
      <c r="K198" s="4"/>
    </row>
    <row r="199" spans="1:12" x14ac:dyDescent="0.25">
      <c r="A199" t="s">
        <v>142</v>
      </c>
      <c r="B199" s="3">
        <v>1</v>
      </c>
      <c r="C199" s="4">
        <v>38</v>
      </c>
      <c r="D199" s="1">
        <v>45632</v>
      </c>
      <c r="E199" s="1">
        <v>45619</v>
      </c>
      <c r="F199" s="1">
        <v>45619</v>
      </c>
      <c r="G199" s="16">
        <v>17</v>
      </c>
      <c r="H199" s="23"/>
      <c r="I199" s="24" t="s">
        <v>1624</v>
      </c>
      <c r="J199" s="6" t="s">
        <v>1764</v>
      </c>
      <c r="K199" s="4"/>
    </row>
    <row r="200" spans="1:12" x14ac:dyDescent="0.25">
      <c r="A200" t="s">
        <v>142</v>
      </c>
      <c r="B200" s="3">
        <v>3</v>
      </c>
      <c r="C200" s="4">
        <v>45</v>
      </c>
      <c r="D200" s="1">
        <v>45745</v>
      </c>
      <c r="E200" s="1">
        <v>45728</v>
      </c>
      <c r="F200" s="1">
        <v>45731</v>
      </c>
      <c r="G200" s="16">
        <v>6</v>
      </c>
      <c r="H200" s="23"/>
      <c r="I200" s="24" t="s">
        <v>1624</v>
      </c>
      <c r="J200" s="6" t="s">
        <v>1764</v>
      </c>
      <c r="K200" s="4"/>
    </row>
    <row r="201" spans="1:12" x14ac:dyDescent="0.25">
      <c r="A201" t="s">
        <v>142</v>
      </c>
      <c r="B201" s="3">
        <v>3</v>
      </c>
      <c r="C201" s="4">
        <v>45</v>
      </c>
      <c r="D201" s="1">
        <v>45766</v>
      </c>
      <c r="E201" s="1">
        <v>45754</v>
      </c>
      <c r="F201" s="1">
        <v>45759</v>
      </c>
      <c r="G201" s="16">
        <v>6.5</v>
      </c>
      <c r="H201" s="23"/>
      <c r="I201" s="24" t="s">
        <v>1624</v>
      </c>
      <c r="J201" s="6" t="s">
        <v>1764</v>
      </c>
      <c r="K201" s="4"/>
    </row>
    <row r="202" spans="1:12" x14ac:dyDescent="0.25">
      <c r="A202" t="s">
        <v>136</v>
      </c>
      <c r="B202" s="3">
        <v>1</v>
      </c>
      <c r="C202" s="4">
        <v>33</v>
      </c>
      <c r="D202" s="1">
        <v>45780</v>
      </c>
      <c r="E202" s="1">
        <v>45724</v>
      </c>
      <c r="F202" s="1">
        <v>45724</v>
      </c>
      <c r="G202" s="16">
        <v>9.5</v>
      </c>
      <c r="H202" s="23"/>
      <c r="I202" s="24" t="s">
        <v>1624</v>
      </c>
      <c r="J202" s="6" t="s">
        <v>1764</v>
      </c>
      <c r="K202" s="4"/>
    </row>
    <row r="203" spans="1:12" x14ac:dyDescent="0.25">
      <c r="A203" t="s">
        <v>136</v>
      </c>
      <c r="B203" s="3">
        <v>1</v>
      </c>
      <c r="C203" s="4">
        <v>33</v>
      </c>
      <c r="D203" s="1">
        <v>45780</v>
      </c>
      <c r="E203" s="1">
        <v>45725</v>
      </c>
      <c r="F203" s="1">
        <v>45731</v>
      </c>
      <c r="G203" s="16">
        <v>19.5</v>
      </c>
      <c r="H203" s="23"/>
      <c r="I203" s="24" t="s">
        <v>1624</v>
      </c>
      <c r="J203" s="6" t="s">
        <v>1764</v>
      </c>
      <c r="K203" s="4"/>
    </row>
    <row r="204" spans="1:12" x14ac:dyDescent="0.25">
      <c r="A204" t="s">
        <v>25</v>
      </c>
      <c r="B204" s="3">
        <v>1</v>
      </c>
      <c r="C204" s="4">
        <v>38</v>
      </c>
      <c r="D204" s="1">
        <v>45954</v>
      </c>
      <c r="E204" s="1">
        <v>45750</v>
      </c>
      <c r="F204" s="1">
        <v>45752</v>
      </c>
      <c r="G204" s="16">
        <v>4.5</v>
      </c>
      <c r="H204" s="23"/>
      <c r="I204" s="24" t="s">
        <v>1624</v>
      </c>
      <c r="J204" s="6" t="s">
        <v>1764</v>
      </c>
      <c r="K204" s="4"/>
    </row>
    <row r="205" spans="1:12" x14ac:dyDescent="0.25">
      <c r="A205" t="s">
        <v>25</v>
      </c>
      <c r="B205" s="3">
        <v>1</v>
      </c>
      <c r="C205" s="4">
        <v>38</v>
      </c>
      <c r="D205" s="1">
        <v>45954</v>
      </c>
      <c r="E205" s="1">
        <v>45751</v>
      </c>
      <c r="F205" s="1">
        <v>45752</v>
      </c>
      <c r="G205" s="16">
        <v>7.5</v>
      </c>
      <c r="H205" s="23"/>
      <c r="I205" s="24" t="s">
        <v>1624</v>
      </c>
      <c r="J205" s="6" t="s">
        <v>1764</v>
      </c>
      <c r="K205" s="4"/>
    </row>
    <row r="206" spans="1:12" x14ac:dyDescent="0.25">
      <c r="A206" t="s">
        <v>25</v>
      </c>
      <c r="B206" s="3">
        <v>1</v>
      </c>
      <c r="C206" s="4">
        <v>38</v>
      </c>
      <c r="D206" s="1">
        <v>45954</v>
      </c>
      <c r="E206" s="1">
        <v>45752</v>
      </c>
      <c r="F206" s="1">
        <v>45752</v>
      </c>
      <c r="G206" s="16">
        <v>18</v>
      </c>
      <c r="H206" s="23"/>
      <c r="I206" s="24" t="s">
        <v>1624</v>
      </c>
      <c r="J206" s="6" t="s">
        <v>1764</v>
      </c>
      <c r="K206" s="4"/>
    </row>
    <row r="207" spans="1:12" x14ac:dyDescent="0.25">
      <c r="A207" t="s">
        <v>62</v>
      </c>
      <c r="B207" s="3">
        <v>1</v>
      </c>
      <c r="C207" s="4">
        <v>38</v>
      </c>
      <c r="D207" s="1">
        <v>45114</v>
      </c>
      <c r="E207" s="1">
        <v>45092</v>
      </c>
      <c r="F207" s="1"/>
      <c r="G207" s="16">
        <v>5</v>
      </c>
      <c r="H207" s="23"/>
      <c r="I207" s="6" t="s">
        <v>1921</v>
      </c>
      <c r="J207" s="6" t="s">
        <v>1722</v>
      </c>
      <c r="K207" s="4"/>
    </row>
    <row r="208" spans="1:12" x14ac:dyDescent="0.25">
      <c r="A208" t="s">
        <v>62</v>
      </c>
      <c r="B208" s="3">
        <v>1</v>
      </c>
      <c r="C208" s="4">
        <v>38</v>
      </c>
      <c r="D208" s="1">
        <v>45114</v>
      </c>
      <c r="E208" s="1">
        <v>45094</v>
      </c>
      <c r="F208" s="1"/>
      <c r="G208" s="16">
        <v>11</v>
      </c>
      <c r="H208" s="23"/>
      <c r="I208" s="6" t="s">
        <v>1921</v>
      </c>
      <c r="J208" s="6" t="s">
        <v>1722</v>
      </c>
      <c r="K208" s="4"/>
    </row>
    <row r="209" spans="1:11" x14ac:dyDescent="0.25">
      <c r="A209" t="s">
        <v>62</v>
      </c>
      <c r="B209" s="3">
        <v>1</v>
      </c>
      <c r="C209" s="4">
        <v>38</v>
      </c>
      <c r="D209" s="1">
        <v>45114</v>
      </c>
      <c r="E209" s="1">
        <v>45095</v>
      </c>
      <c r="F209" s="1"/>
      <c r="G209" s="16">
        <v>16.5</v>
      </c>
      <c r="H209" s="23"/>
      <c r="I209" s="6" t="s">
        <v>1921</v>
      </c>
      <c r="J209" s="6" t="s">
        <v>1722</v>
      </c>
      <c r="K209" s="4"/>
    </row>
    <row r="210" spans="1:11" x14ac:dyDescent="0.25">
      <c r="A210" t="s">
        <v>91</v>
      </c>
      <c r="B210" s="3">
        <v>1</v>
      </c>
      <c r="C210" s="4">
        <v>38</v>
      </c>
      <c r="D210" s="1">
        <v>45548</v>
      </c>
      <c r="E210" s="1">
        <v>45540</v>
      </c>
      <c r="F210" s="1">
        <v>45542</v>
      </c>
      <c r="G210" s="16">
        <v>5</v>
      </c>
      <c r="H210" s="23"/>
      <c r="I210" s="6" t="s">
        <v>476</v>
      </c>
      <c r="J210" s="6" t="s">
        <v>477</v>
      </c>
      <c r="K210" s="4"/>
    </row>
    <row r="211" spans="1:11" x14ac:dyDescent="0.25">
      <c r="A211" t="s">
        <v>91</v>
      </c>
      <c r="B211" s="3">
        <v>1</v>
      </c>
      <c r="C211" s="4">
        <v>38</v>
      </c>
      <c r="D211" s="1">
        <v>45548</v>
      </c>
      <c r="E211" s="1">
        <v>45541</v>
      </c>
      <c r="F211" s="1">
        <v>45542</v>
      </c>
      <c r="G211" s="16">
        <v>6.5</v>
      </c>
      <c r="H211" s="23"/>
      <c r="I211" s="6" t="s">
        <v>476</v>
      </c>
      <c r="J211" s="6" t="s">
        <v>477</v>
      </c>
      <c r="K211" s="4"/>
    </row>
    <row r="212" spans="1:11" x14ac:dyDescent="0.25">
      <c r="A212" t="s">
        <v>91</v>
      </c>
      <c r="B212" s="3">
        <v>1</v>
      </c>
      <c r="C212" s="4">
        <v>38</v>
      </c>
      <c r="D212" s="1">
        <v>45548</v>
      </c>
      <c r="E212" s="1">
        <v>45542</v>
      </c>
      <c r="F212" s="1">
        <v>45542</v>
      </c>
      <c r="G212" s="16">
        <v>22</v>
      </c>
      <c r="H212" s="23"/>
      <c r="I212" s="6" t="s">
        <v>476</v>
      </c>
      <c r="J212" s="6" t="s">
        <v>477</v>
      </c>
      <c r="K212" s="4"/>
    </row>
    <row r="213" spans="1:11" x14ac:dyDescent="0.25">
      <c r="A213" t="s">
        <v>91</v>
      </c>
      <c r="B213" s="3">
        <v>1</v>
      </c>
      <c r="C213" s="4">
        <v>38</v>
      </c>
      <c r="D213" s="1">
        <v>45555</v>
      </c>
      <c r="E213" s="1">
        <v>45548</v>
      </c>
      <c r="F213" s="1">
        <v>45549</v>
      </c>
      <c r="G213" s="16">
        <v>7.5</v>
      </c>
      <c r="H213" s="23"/>
      <c r="I213" s="6" t="s">
        <v>476</v>
      </c>
      <c r="J213" s="6" t="s">
        <v>477</v>
      </c>
      <c r="K213" s="4"/>
    </row>
    <row r="214" spans="1:11" x14ac:dyDescent="0.25">
      <c r="A214" t="s">
        <v>91</v>
      </c>
      <c r="B214" s="3">
        <v>1</v>
      </c>
      <c r="C214" s="4">
        <v>38</v>
      </c>
      <c r="D214" s="1">
        <v>45555</v>
      </c>
      <c r="E214" s="1">
        <v>45549</v>
      </c>
      <c r="F214" s="1">
        <v>45549</v>
      </c>
      <c r="G214" s="16">
        <v>21</v>
      </c>
      <c r="H214" s="23"/>
      <c r="I214" s="6" t="s">
        <v>476</v>
      </c>
      <c r="J214" s="6" t="s">
        <v>477</v>
      </c>
      <c r="K214" s="4"/>
    </row>
    <row r="215" spans="1:11" x14ac:dyDescent="0.25">
      <c r="A215" t="s">
        <v>142</v>
      </c>
      <c r="B215" s="3">
        <v>1</v>
      </c>
      <c r="C215" s="4">
        <v>38</v>
      </c>
      <c r="D215" s="1">
        <v>45583</v>
      </c>
      <c r="E215" s="1">
        <v>45569</v>
      </c>
      <c r="F215" s="1">
        <v>45570</v>
      </c>
      <c r="G215" s="16">
        <v>8.5</v>
      </c>
      <c r="H215" s="23"/>
      <c r="I215" s="6" t="s">
        <v>476</v>
      </c>
      <c r="J215" s="6" t="s">
        <v>477</v>
      </c>
      <c r="K215" s="4"/>
    </row>
    <row r="216" spans="1:11" x14ac:dyDescent="0.25">
      <c r="A216" t="s">
        <v>142</v>
      </c>
      <c r="B216" s="3">
        <v>1</v>
      </c>
      <c r="C216" s="4">
        <v>38</v>
      </c>
      <c r="D216" s="1">
        <v>45583</v>
      </c>
      <c r="E216" s="1">
        <v>45570</v>
      </c>
      <c r="F216" s="1">
        <v>45570</v>
      </c>
      <c r="G216" s="16">
        <v>20</v>
      </c>
      <c r="H216" s="23"/>
      <c r="I216" s="6" t="s">
        <v>476</v>
      </c>
      <c r="J216" s="6" t="s">
        <v>477</v>
      </c>
      <c r="K216" s="4"/>
    </row>
    <row r="217" spans="1:11" x14ac:dyDescent="0.25">
      <c r="A217" t="s">
        <v>71</v>
      </c>
      <c r="B217" s="3">
        <v>1</v>
      </c>
      <c r="C217" s="4">
        <v>38</v>
      </c>
      <c r="D217" s="1">
        <v>45590</v>
      </c>
      <c r="E217" s="1">
        <v>45583</v>
      </c>
      <c r="F217" s="1">
        <v>45584</v>
      </c>
      <c r="G217" s="16">
        <v>7.5</v>
      </c>
      <c r="H217" s="23"/>
      <c r="I217" s="6" t="s">
        <v>476</v>
      </c>
      <c r="J217" s="6" t="s">
        <v>477</v>
      </c>
      <c r="K217" s="4"/>
    </row>
    <row r="218" spans="1:11" x14ac:dyDescent="0.25">
      <c r="A218" t="s">
        <v>71</v>
      </c>
      <c r="B218" s="3">
        <v>1</v>
      </c>
      <c r="C218" s="4">
        <v>38</v>
      </c>
      <c r="D218" s="1">
        <v>45590</v>
      </c>
      <c r="E218" s="1">
        <v>45584</v>
      </c>
      <c r="F218" s="1">
        <v>45584</v>
      </c>
      <c r="G218" s="16">
        <v>19</v>
      </c>
      <c r="H218" s="23"/>
      <c r="I218" s="6" t="s">
        <v>476</v>
      </c>
      <c r="J218" s="6" t="s">
        <v>477</v>
      </c>
      <c r="K218" s="4"/>
    </row>
    <row r="219" spans="1:11" x14ac:dyDescent="0.25">
      <c r="A219" t="s">
        <v>71</v>
      </c>
      <c r="B219" s="3">
        <v>1</v>
      </c>
      <c r="C219" s="4">
        <v>38</v>
      </c>
      <c r="D219" s="1">
        <v>45597</v>
      </c>
      <c r="E219" s="1">
        <v>45590</v>
      </c>
      <c r="F219" s="1">
        <v>45591</v>
      </c>
      <c r="G219" s="16">
        <v>7.5</v>
      </c>
      <c r="H219" s="23"/>
      <c r="I219" s="6" t="s">
        <v>476</v>
      </c>
      <c r="J219" s="6" t="s">
        <v>477</v>
      </c>
      <c r="K219" s="4"/>
    </row>
    <row r="220" spans="1:11" x14ac:dyDescent="0.25">
      <c r="A220" t="s">
        <v>71</v>
      </c>
      <c r="B220" s="3">
        <v>1</v>
      </c>
      <c r="C220" s="4">
        <v>38</v>
      </c>
      <c r="D220" s="1">
        <v>45597</v>
      </c>
      <c r="E220" s="1">
        <v>45592</v>
      </c>
      <c r="F220" s="1">
        <v>45598</v>
      </c>
      <c r="G220" s="16">
        <v>20</v>
      </c>
      <c r="H220" s="23"/>
      <c r="I220" s="6" t="s">
        <v>476</v>
      </c>
      <c r="J220" s="6" t="s">
        <v>477</v>
      </c>
      <c r="K220" s="4"/>
    </row>
    <row r="221" spans="1:11" x14ac:dyDescent="0.25">
      <c r="A221" t="s">
        <v>91</v>
      </c>
      <c r="B221" s="3">
        <v>1</v>
      </c>
      <c r="C221" s="4">
        <v>38</v>
      </c>
      <c r="D221" s="1">
        <v>45625</v>
      </c>
      <c r="E221" s="1">
        <v>45618</v>
      </c>
      <c r="F221" s="1">
        <v>45619</v>
      </c>
      <c r="G221" s="16">
        <v>7</v>
      </c>
      <c r="H221" s="23"/>
      <c r="I221" s="6" t="s">
        <v>476</v>
      </c>
      <c r="J221" s="6" t="s">
        <v>477</v>
      </c>
      <c r="K221" s="4"/>
    </row>
    <row r="222" spans="1:11" x14ac:dyDescent="0.25">
      <c r="A222" t="s">
        <v>91</v>
      </c>
      <c r="B222" s="3">
        <v>1</v>
      </c>
      <c r="C222" s="4">
        <v>38</v>
      </c>
      <c r="D222" s="1">
        <v>45625</v>
      </c>
      <c r="E222" s="1">
        <v>45619</v>
      </c>
      <c r="F222" s="1">
        <v>45619</v>
      </c>
      <c r="G222" s="16">
        <v>21</v>
      </c>
      <c r="H222" s="23"/>
      <c r="I222" s="6" t="s">
        <v>476</v>
      </c>
      <c r="J222" s="6" t="s">
        <v>477</v>
      </c>
      <c r="K222" s="4"/>
    </row>
    <row r="223" spans="1:11" x14ac:dyDescent="0.25">
      <c r="A223" t="s">
        <v>71</v>
      </c>
      <c r="B223" s="3">
        <v>1</v>
      </c>
      <c r="C223" s="4">
        <v>38</v>
      </c>
      <c r="D223" s="1">
        <v>45639</v>
      </c>
      <c r="E223" s="1">
        <v>45631</v>
      </c>
      <c r="F223" s="1">
        <v>45633</v>
      </c>
      <c r="G223" s="16">
        <v>5</v>
      </c>
      <c r="H223" s="23"/>
      <c r="I223" s="6" t="s">
        <v>476</v>
      </c>
      <c r="J223" s="6" t="s">
        <v>477</v>
      </c>
      <c r="K223" s="4"/>
    </row>
    <row r="224" spans="1:11" x14ac:dyDescent="0.25">
      <c r="A224" t="s">
        <v>71</v>
      </c>
      <c r="B224" s="3">
        <v>1</v>
      </c>
      <c r="C224" s="4">
        <v>38</v>
      </c>
      <c r="D224" s="1">
        <v>45639</v>
      </c>
      <c r="E224" s="1">
        <v>45632</v>
      </c>
      <c r="F224" s="1">
        <v>45633</v>
      </c>
      <c r="G224" s="16">
        <v>7.5</v>
      </c>
      <c r="H224" s="23"/>
      <c r="I224" s="6" t="s">
        <v>476</v>
      </c>
      <c r="J224" s="6" t="s">
        <v>477</v>
      </c>
      <c r="K224" s="4"/>
    </row>
    <row r="225" spans="1:11" x14ac:dyDescent="0.25">
      <c r="A225" t="s">
        <v>71</v>
      </c>
      <c r="B225" s="3">
        <v>1</v>
      </c>
      <c r="C225" s="4">
        <v>38</v>
      </c>
      <c r="D225" s="1">
        <v>45639</v>
      </c>
      <c r="E225" s="1">
        <v>45633</v>
      </c>
      <c r="F225" s="1">
        <v>45633</v>
      </c>
      <c r="G225" s="16">
        <v>20.5</v>
      </c>
      <c r="H225" s="23"/>
      <c r="I225" s="6" t="s">
        <v>476</v>
      </c>
      <c r="J225" s="6" t="s">
        <v>477</v>
      </c>
      <c r="K225" s="4"/>
    </row>
    <row r="226" spans="1:11" x14ac:dyDescent="0.25">
      <c r="A226" s="31" t="s">
        <v>91</v>
      </c>
      <c r="B226" s="18">
        <v>1</v>
      </c>
      <c r="C226" s="19">
        <v>38</v>
      </c>
      <c r="D226" s="20">
        <v>45661</v>
      </c>
      <c r="E226" s="20">
        <v>45654</v>
      </c>
      <c r="F226" s="20">
        <v>45654</v>
      </c>
      <c r="G226" s="21">
        <v>26</v>
      </c>
      <c r="H226" s="23"/>
      <c r="I226" s="6" t="s">
        <v>476</v>
      </c>
      <c r="J226" s="6" t="s">
        <v>477</v>
      </c>
      <c r="K226" s="4"/>
    </row>
    <row r="227" spans="1:11" x14ac:dyDescent="0.25">
      <c r="A227" s="31" t="s">
        <v>118</v>
      </c>
      <c r="B227" s="18">
        <v>1</v>
      </c>
      <c r="C227" s="19">
        <v>33</v>
      </c>
      <c r="D227" s="20">
        <v>45661</v>
      </c>
      <c r="E227" s="20">
        <v>45652</v>
      </c>
      <c r="F227" s="20">
        <v>45654</v>
      </c>
      <c r="G227" s="21">
        <v>12</v>
      </c>
      <c r="H227" s="23"/>
      <c r="I227" s="6" t="s">
        <v>476</v>
      </c>
      <c r="J227" s="6" t="s">
        <v>477</v>
      </c>
      <c r="K227" s="4"/>
    </row>
    <row r="228" spans="1:11" x14ac:dyDescent="0.25">
      <c r="A228" s="31" t="s">
        <v>118</v>
      </c>
      <c r="B228" s="18">
        <v>1</v>
      </c>
      <c r="C228" s="19">
        <v>33</v>
      </c>
      <c r="D228" s="20">
        <v>45661</v>
      </c>
      <c r="E228" s="20">
        <v>45653</v>
      </c>
      <c r="F228" s="20">
        <v>45654</v>
      </c>
      <c r="G228" s="21">
        <v>16.5</v>
      </c>
      <c r="H228" s="23"/>
      <c r="I228" s="6" t="s">
        <v>476</v>
      </c>
      <c r="J228" s="6" t="s">
        <v>477</v>
      </c>
      <c r="K228" s="4"/>
    </row>
    <row r="229" spans="1:11" x14ac:dyDescent="0.25">
      <c r="A229" s="31" t="s">
        <v>136</v>
      </c>
      <c r="B229" s="18">
        <v>1</v>
      </c>
      <c r="C229" s="19">
        <v>33</v>
      </c>
      <c r="D229" s="20">
        <v>45668</v>
      </c>
      <c r="E229" s="20">
        <v>45627</v>
      </c>
      <c r="F229" s="20">
        <v>45633</v>
      </c>
      <c r="G229" s="21">
        <v>7</v>
      </c>
      <c r="H229" s="23"/>
      <c r="I229" s="6" t="s">
        <v>476</v>
      </c>
      <c r="J229" s="6" t="s">
        <v>477</v>
      </c>
      <c r="K229" s="4"/>
    </row>
    <row r="230" spans="1:11" x14ac:dyDescent="0.25">
      <c r="A230" s="31" t="s">
        <v>136</v>
      </c>
      <c r="B230" s="18">
        <v>1</v>
      </c>
      <c r="C230" s="19">
        <v>33</v>
      </c>
      <c r="D230" s="20">
        <v>45668</v>
      </c>
      <c r="E230" s="20">
        <v>45631</v>
      </c>
      <c r="F230" s="20">
        <v>45633</v>
      </c>
      <c r="G230" s="21">
        <v>4</v>
      </c>
      <c r="H230" s="23"/>
      <c r="I230" s="6" t="s">
        <v>476</v>
      </c>
      <c r="J230" s="6" t="s">
        <v>477</v>
      </c>
      <c r="K230" s="4"/>
    </row>
    <row r="231" spans="1:11" x14ac:dyDescent="0.25">
      <c r="A231" s="31" t="s">
        <v>136</v>
      </c>
      <c r="B231" s="18">
        <v>1</v>
      </c>
      <c r="C231" s="19">
        <v>33</v>
      </c>
      <c r="D231" s="20">
        <v>45668</v>
      </c>
      <c r="E231" s="20">
        <v>45632</v>
      </c>
      <c r="F231" s="20">
        <v>45633</v>
      </c>
      <c r="G231" s="21">
        <v>8.5</v>
      </c>
      <c r="H231" s="23"/>
      <c r="I231" s="6" t="s">
        <v>476</v>
      </c>
      <c r="J231" s="6" t="s">
        <v>477</v>
      </c>
      <c r="K231" s="4"/>
    </row>
    <row r="232" spans="1:11" x14ac:dyDescent="0.25">
      <c r="A232" s="31" t="s">
        <v>136</v>
      </c>
      <c r="B232" s="18">
        <v>1</v>
      </c>
      <c r="C232" s="19">
        <v>33</v>
      </c>
      <c r="D232" s="20">
        <v>45668</v>
      </c>
      <c r="E232" s="20">
        <v>45633</v>
      </c>
      <c r="F232" s="20">
        <v>45633</v>
      </c>
      <c r="G232" s="21">
        <v>17</v>
      </c>
      <c r="H232" s="23"/>
      <c r="I232" s="6" t="s">
        <v>476</v>
      </c>
      <c r="J232" s="6" t="s">
        <v>477</v>
      </c>
      <c r="K232" s="4"/>
    </row>
    <row r="233" spans="1:11" x14ac:dyDescent="0.25">
      <c r="A233" s="31" t="s">
        <v>71</v>
      </c>
      <c r="B233" s="18">
        <v>1</v>
      </c>
      <c r="C233" s="19">
        <v>38</v>
      </c>
      <c r="D233" s="20">
        <v>45682</v>
      </c>
      <c r="E233" s="20">
        <v>45674</v>
      </c>
      <c r="F233" s="20">
        <v>45675</v>
      </c>
      <c r="G233" s="21">
        <v>7.5</v>
      </c>
      <c r="H233" s="23"/>
      <c r="I233" s="6" t="s">
        <v>476</v>
      </c>
      <c r="J233" s="6" t="s">
        <v>477</v>
      </c>
      <c r="K233" s="4"/>
    </row>
    <row r="234" spans="1:11" x14ac:dyDescent="0.25">
      <c r="A234" s="31" t="s">
        <v>71</v>
      </c>
      <c r="B234" s="18">
        <v>1</v>
      </c>
      <c r="C234" s="19">
        <v>38</v>
      </c>
      <c r="D234" s="20">
        <v>45682</v>
      </c>
      <c r="E234" s="20">
        <v>45675</v>
      </c>
      <c r="F234" s="20">
        <v>45675</v>
      </c>
      <c r="G234" s="21">
        <v>19</v>
      </c>
      <c r="H234" s="23"/>
      <c r="I234" s="6" t="s">
        <v>476</v>
      </c>
      <c r="J234" s="6" t="s">
        <v>477</v>
      </c>
      <c r="K234" s="4"/>
    </row>
    <row r="235" spans="1:11" x14ac:dyDescent="0.25">
      <c r="A235" s="31" t="s">
        <v>71</v>
      </c>
      <c r="B235" s="18">
        <v>1</v>
      </c>
      <c r="C235" s="19">
        <v>38</v>
      </c>
      <c r="D235" s="20">
        <v>45696</v>
      </c>
      <c r="E235" s="20">
        <v>45688</v>
      </c>
      <c r="F235" s="20">
        <v>45689</v>
      </c>
      <c r="G235" s="21">
        <v>7.5</v>
      </c>
      <c r="H235" s="23"/>
      <c r="I235" s="6" t="s">
        <v>476</v>
      </c>
      <c r="J235" s="6" t="s">
        <v>477</v>
      </c>
      <c r="K235" s="4"/>
    </row>
    <row r="236" spans="1:11" x14ac:dyDescent="0.25">
      <c r="A236" s="31" t="s">
        <v>71</v>
      </c>
      <c r="B236" s="18">
        <v>1</v>
      </c>
      <c r="C236" s="19">
        <v>38</v>
      </c>
      <c r="D236" s="20">
        <v>45696</v>
      </c>
      <c r="E236" s="20">
        <v>45689</v>
      </c>
      <c r="F236" s="20">
        <v>45689</v>
      </c>
      <c r="G236" s="21">
        <v>20.5</v>
      </c>
      <c r="H236" s="23"/>
      <c r="I236" s="6" t="s">
        <v>476</v>
      </c>
      <c r="J236" s="6" t="s">
        <v>477</v>
      </c>
      <c r="K236" s="4"/>
    </row>
    <row r="237" spans="1:11" x14ac:dyDescent="0.25">
      <c r="A237" s="31" t="s">
        <v>71</v>
      </c>
      <c r="B237" s="18">
        <v>1</v>
      </c>
      <c r="C237" s="19">
        <v>38</v>
      </c>
      <c r="D237" s="20">
        <v>45738</v>
      </c>
      <c r="E237" s="20">
        <v>45730</v>
      </c>
      <c r="F237" s="20">
        <v>45731</v>
      </c>
      <c r="G237" s="21">
        <v>7.5</v>
      </c>
      <c r="H237" s="23"/>
      <c r="I237" s="6" t="s">
        <v>476</v>
      </c>
      <c r="J237" s="6" t="s">
        <v>477</v>
      </c>
      <c r="K237" s="4"/>
    </row>
    <row r="238" spans="1:11" x14ac:dyDescent="0.25">
      <c r="A238" s="31" t="s">
        <v>71</v>
      </c>
      <c r="B238" s="18">
        <v>1</v>
      </c>
      <c r="C238" s="19">
        <v>38</v>
      </c>
      <c r="D238" s="20">
        <v>45738</v>
      </c>
      <c r="E238" s="20">
        <v>45731</v>
      </c>
      <c r="F238" s="20">
        <v>45731</v>
      </c>
      <c r="G238" s="21">
        <v>20</v>
      </c>
      <c r="H238" s="23"/>
      <c r="I238" s="6" t="s">
        <v>476</v>
      </c>
      <c r="J238" s="6" t="s">
        <v>477</v>
      </c>
      <c r="K238" s="4"/>
    </row>
    <row r="239" spans="1:11" x14ac:dyDescent="0.25">
      <c r="A239" s="31" t="s">
        <v>142</v>
      </c>
      <c r="B239" s="18">
        <v>1</v>
      </c>
      <c r="C239" s="19">
        <v>38</v>
      </c>
      <c r="D239" s="20">
        <v>45745</v>
      </c>
      <c r="E239" s="20">
        <v>45716</v>
      </c>
      <c r="F239" s="20">
        <v>45717</v>
      </c>
      <c r="G239" s="21">
        <v>7.5</v>
      </c>
      <c r="H239" s="23"/>
      <c r="I239" s="6" t="s">
        <v>476</v>
      </c>
      <c r="J239" s="6" t="s">
        <v>477</v>
      </c>
      <c r="K239" s="4"/>
    </row>
    <row r="240" spans="1:11" x14ac:dyDescent="0.25">
      <c r="A240" s="31" t="s">
        <v>142</v>
      </c>
      <c r="B240" s="18">
        <v>1</v>
      </c>
      <c r="C240" s="19">
        <v>38</v>
      </c>
      <c r="D240" s="20">
        <v>45745</v>
      </c>
      <c r="E240" s="20">
        <v>45717</v>
      </c>
      <c r="F240" s="20">
        <v>45717</v>
      </c>
      <c r="G240" s="21">
        <v>21</v>
      </c>
      <c r="H240" s="23"/>
      <c r="I240" s="6" t="s">
        <v>476</v>
      </c>
      <c r="J240" s="6" t="s">
        <v>477</v>
      </c>
      <c r="K240" s="4"/>
    </row>
    <row r="241" spans="1:11" x14ac:dyDescent="0.25">
      <c r="A241" s="31" t="s">
        <v>91</v>
      </c>
      <c r="B241" s="18">
        <v>1</v>
      </c>
      <c r="C241" s="19">
        <v>38</v>
      </c>
      <c r="D241" s="20">
        <v>45766</v>
      </c>
      <c r="E241" s="20">
        <v>45758</v>
      </c>
      <c r="F241" s="20">
        <v>45759</v>
      </c>
      <c r="G241" s="21">
        <v>7.5</v>
      </c>
      <c r="H241" s="23"/>
      <c r="I241" s="6" t="s">
        <v>476</v>
      </c>
      <c r="J241" s="6" t="s">
        <v>477</v>
      </c>
      <c r="K241" s="4"/>
    </row>
    <row r="242" spans="1:11" x14ac:dyDescent="0.25">
      <c r="A242" s="31" t="s">
        <v>91</v>
      </c>
      <c r="B242" s="18">
        <v>1</v>
      </c>
      <c r="C242" s="19">
        <v>38</v>
      </c>
      <c r="D242" s="20">
        <v>45766</v>
      </c>
      <c r="E242" s="20">
        <v>45759</v>
      </c>
      <c r="F242" s="20">
        <v>45759</v>
      </c>
      <c r="G242" s="21">
        <v>24</v>
      </c>
      <c r="H242" s="23"/>
      <c r="I242" s="6" t="s">
        <v>476</v>
      </c>
      <c r="J242" s="6" t="s">
        <v>477</v>
      </c>
      <c r="K242" s="4"/>
    </row>
    <row r="243" spans="1:11" x14ac:dyDescent="0.25">
      <c r="A243" s="31" t="s">
        <v>91</v>
      </c>
      <c r="B243" s="18">
        <v>1</v>
      </c>
      <c r="C243" s="19">
        <v>38</v>
      </c>
      <c r="D243" s="20">
        <v>45773</v>
      </c>
      <c r="E243" s="20">
        <v>45760</v>
      </c>
      <c r="F243" s="20">
        <v>45766</v>
      </c>
      <c r="G243" s="21">
        <v>14</v>
      </c>
      <c r="H243" s="23"/>
      <c r="I243" s="6" t="s">
        <v>476</v>
      </c>
      <c r="J243" s="6" t="s">
        <v>477</v>
      </c>
      <c r="K243" s="4"/>
    </row>
    <row r="244" spans="1:11" x14ac:dyDescent="0.25">
      <c r="A244" s="31" t="s">
        <v>126</v>
      </c>
      <c r="B244" s="18">
        <v>1</v>
      </c>
      <c r="C244" s="19">
        <v>33</v>
      </c>
      <c r="D244" s="20">
        <v>45780</v>
      </c>
      <c r="E244" s="20">
        <v>45709</v>
      </c>
      <c r="F244" s="20">
        <v>45710</v>
      </c>
      <c r="G244" s="21">
        <v>7</v>
      </c>
      <c r="H244" s="23"/>
      <c r="I244" s="6" t="s">
        <v>476</v>
      </c>
      <c r="J244" s="6" t="s">
        <v>477</v>
      </c>
      <c r="K244" s="4"/>
    </row>
    <row r="245" spans="1:11" x14ac:dyDescent="0.25">
      <c r="A245" s="31" t="s">
        <v>126</v>
      </c>
      <c r="B245" s="18">
        <v>1</v>
      </c>
      <c r="C245" s="19">
        <v>33</v>
      </c>
      <c r="D245" s="20">
        <v>45780</v>
      </c>
      <c r="E245" s="20">
        <v>45710</v>
      </c>
      <c r="F245" s="20">
        <v>45710</v>
      </c>
      <c r="G245" s="21">
        <v>21</v>
      </c>
      <c r="H245" s="23"/>
      <c r="I245" s="6" t="s">
        <v>476</v>
      </c>
      <c r="J245" s="6" t="s">
        <v>477</v>
      </c>
      <c r="K245" s="4"/>
    </row>
    <row r="246" spans="1:11" x14ac:dyDescent="0.25">
      <c r="A246" s="31" t="s">
        <v>136</v>
      </c>
      <c r="B246" s="18">
        <v>1</v>
      </c>
      <c r="C246" s="19">
        <v>33</v>
      </c>
      <c r="D246" s="20">
        <v>45780</v>
      </c>
      <c r="E246" s="20">
        <v>45675</v>
      </c>
      <c r="F246" s="20">
        <v>45675</v>
      </c>
      <c r="G246" s="21">
        <v>13</v>
      </c>
      <c r="H246" s="23"/>
      <c r="I246" s="6" t="s">
        <v>476</v>
      </c>
      <c r="J246" s="6" t="s">
        <v>477</v>
      </c>
      <c r="K246" s="4"/>
    </row>
    <row r="247" spans="1:11" x14ac:dyDescent="0.25">
      <c r="A247" s="31" t="s">
        <v>136</v>
      </c>
      <c r="B247" s="18">
        <v>1</v>
      </c>
      <c r="C247" s="19">
        <v>33</v>
      </c>
      <c r="D247" s="20">
        <v>45780</v>
      </c>
      <c r="E247" s="20">
        <v>45676</v>
      </c>
      <c r="F247" s="20">
        <v>45682</v>
      </c>
      <c r="G247" s="21">
        <v>17</v>
      </c>
      <c r="H247" s="23"/>
      <c r="I247" s="6" t="s">
        <v>476</v>
      </c>
      <c r="J247" s="6" t="s">
        <v>477</v>
      </c>
      <c r="K247" s="4"/>
    </row>
    <row r="248" spans="1:11" x14ac:dyDescent="0.25">
      <c r="A248" s="31" t="s">
        <v>126</v>
      </c>
      <c r="B248" s="18">
        <v>1</v>
      </c>
      <c r="C248" s="19">
        <v>33</v>
      </c>
      <c r="D248" s="20">
        <v>45807</v>
      </c>
      <c r="E248" s="20">
        <v>45800</v>
      </c>
      <c r="F248" s="20">
        <v>45801</v>
      </c>
      <c r="G248" s="21">
        <v>7</v>
      </c>
      <c r="H248" s="23"/>
      <c r="I248" s="6" t="s">
        <v>476</v>
      </c>
      <c r="J248" s="6" t="s">
        <v>477</v>
      </c>
      <c r="K248" s="4"/>
    </row>
    <row r="249" spans="1:11" x14ac:dyDescent="0.25">
      <c r="A249" s="31" t="s">
        <v>126</v>
      </c>
      <c r="B249" s="18">
        <v>1</v>
      </c>
      <c r="C249" s="19">
        <v>33</v>
      </c>
      <c r="D249" s="20">
        <v>45807</v>
      </c>
      <c r="E249" s="20">
        <v>45801</v>
      </c>
      <c r="F249" s="20">
        <v>45801</v>
      </c>
      <c r="G249" s="21">
        <v>20</v>
      </c>
      <c r="H249" s="23"/>
      <c r="I249" s="6" t="s">
        <v>476</v>
      </c>
      <c r="J249" s="6" t="s">
        <v>477</v>
      </c>
      <c r="K249" s="4"/>
    </row>
    <row r="250" spans="1:11" x14ac:dyDescent="0.25">
      <c r="A250" s="31" t="s">
        <v>71</v>
      </c>
      <c r="B250" s="18">
        <v>1</v>
      </c>
      <c r="C250" s="19">
        <v>38</v>
      </c>
      <c r="D250" s="20">
        <v>45814</v>
      </c>
      <c r="E250" s="20">
        <v>45808</v>
      </c>
      <c r="F250" s="20">
        <v>45808</v>
      </c>
      <c r="G250" s="21">
        <v>13.5</v>
      </c>
      <c r="H250" s="23"/>
      <c r="I250" s="6" t="s">
        <v>476</v>
      </c>
      <c r="J250" s="6" t="s">
        <v>477</v>
      </c>
      <c r="K250" s="4"/>
    </row>
    <row r="251" spans="1:11" x14ac:dyDescent="0.25">
      <c r="A251" s="31" t="s">
        <v>136</v>
      </c>
      <c r="B251" s="18">
        <v>1</v>
      </c>
      <c r="C251" s="19">
        <v>33</v>
      </c>
      <c r="D251" s="20">
        <v>45814</v>
      </c>
      <c r="E251" s="20">
        <v>45778</v>
      </c>
      <c r="F251" s="20">
        <v>45780</v>
      </c>
      <c r="G251" s="21">
        <v>4</v>
      </c>
      <c r="H251" s="23"/>
      <c r="I251" s="6" t="s">
        <v>476</v>
      </c>
      <c r="J251" s="6" t="s">
        <v>477</v>
      </c>
      <c r="K251" s="4"/>
    </row>
    <row r="252" spans="1:11" x14ac:dyDescent="0.25">
      <c r="A252" s="31" t="s">
        <v>136</v>
      </c>
      <c r="B252" s="18">
        <v>1</v>
      </c>
      <c r="C252" s="19">
        <v>33</v>
      </c>
      <c r="D252" s="20">
        <v>45814</v>
      </c>
      <c r="E252" s="20">
        <v>45779</v>
      </c>
      <c r="F252" s="20">
        <v>45780</v>
      </c>
      <c r="G252" s="21">
        <v>4</v>
      </c>
      <c r="H252" s="23"/>
      <c r="I252" s="6" t="s">
        <v>476</v>
      </c>
      <c r="J252" s="6" t="s">
        <v>477</v>
      </c>
      <c r="K252" s="4"/>
    </row>
    <row r="253" spans="1:11" x14ac:dyDescent="0.25">
      <c r="A253" s="31" t="s">
        <v>136</v>
      </c>
      <c r="B253" s="18">
        <v>1</v>
      </c>
      <c r="C253" s="19">
        <v>33</v>
      </c>
      <c r="D253" s="20">
        <v>45814</v>
      </c>
      <c r="E253" s="20">
        <v>45780</v>
      </c>
      <c r="F253" s="20">
        <v>45780</v>
      </c>
      <c r="G253" s="21">
        <v>4</v>
      </c>
      <c r="H253" s="23"/>
      <c r="I253" s="6" t="s">
        <v>476</v>
      </c>
      <c r="J253" s="6" t="s">
        <v>477</v>
      </c>
      <c r="K253" s="4"/>
    </row>
    <row r="254" spans="1:11" x14ac:dyDescent="0.25">
      <c r="A254" s="31" t="s">
        <v>71</v>
      </c>
      <c r="B254" s="18">
        <v>1</v>
      </c>
      <c r="C254" s="19">
        <v>38</v>
      </c>
      <c r="D254" s="20">
        <v>45821</v>
      </c>
      <c r="E254" s="20">
        <v>45809</v>
      </c>
      <c r="F254" s="20">
        <v>45815</v>
      </c>
      <c r="G254" s="21">
        <v>15.5</v>
      </c>
      <c r="H254" s="23"/>
      <c r="I254" s="6" t="s">
        <v>476</v>
      </c>
      <c r="J254" s="6" t="s">
        <v>477</v>
      </c>
      <c r="K254" s="4"/>
    </row>
    <row r="255" spans="1:11" x14ac:dyDescent="0.25">
      <c r="A255" s="31" t="s">
        <v>11</v>
      </c>
      <c r="B255" s="18">
        <v>1</v>
      </c>
      <c r="C255" s="19">
        <v>30</v>
      </c>
      <c r="D255" s="20">
        <v>45884</v>
      </c>
      <c r="E255" s="20">
        <v>45856</v>
      </c>
      <c r="F255" s="20">
        <v>45857</v>
      </c>
      <c r="G255" s="21">
        <v>5</v>
      </c>
      <c r="H255" s="23"/>
      <c r="I255" s="6" t="s">
        <v>476</v>
      </c>
      <c r="J255" s="6" t="s">
        <v>477</v>
      </c>
      <c r="K255" s="4"/>
    </row>
    <row r="256" spans="1:11" x14ac:dyDescent="0.25">
      <c r="A256" s="31" t="s">
        <v>11</v>
      </c>
      <c r="B256" s="18">
        <v>1</v>
      </c>
      <c r="C256" s="19">
        <v>30</v>
      </c>
      <c r="D256" s="20">
        <v>45884</v>
      </c>
      <c r="E256" s="20">
        <v>45859</v>
      </c>
      <c r="F256" s="20">
        <v>45864</v>
      </c>
      <c r="G256" s="21">
        <v>12.5</v>
      </c>
      <c r="H256" s="23"/>
      <c r="I256" s="6" t="s">
        <v>476</v>
      </c>
      <c r="J256" s="6" t="s">
        <v>477</v>
      </c>
      <c r="K256" s="4"/>
    </row>
    <row r="257" spans="1:11" x14ac:dyDescent="0.25">
      <c r="A257" s="31" t="s">
        <v>11</v>
      </c>
      <c r="B257" s="18">
        <v>1</v>
      </c>
      <c r="C257" s="19">
        <v>30</v>
      </c>
      <c r="D257" s="20">
        <v>45884</v>
      </c>
      <c r="E257" s="20">
        <v>45860</v>
      </c>
      <c r="F257" s="20">
        <v>45864</v>
      </c>
      <c r="G257" s="21">
        <v>18</v>
      </c>
      <c r="H257" s="23"/>
      <c r="I257" s="6" t="s">
        <v>476</v>
      </c>
      <c r="J257" s="6" t="s">
        <v>477</v>
      </c>
      <c r="K257" s="4"/>
    </row>
    <row r="258" spans="1:11" x14ac:dyDescent="0.25">
      <c r="A258" t="s">
        <v>71</v>
      </c>
      <c r="B258" s="3">
        <v>1</v>
      </c>
      <c r="C258" s="4">
        <v>38</v>
      </c>
      <c r="D258" s="1">
        <v>45066</v>
      </c>
      <c r="E258" s="1">
        <v>45056</v>
      </c>
      <c r="F258" s="1">
        <v>45059</v>
      </c>
      <c r="G258" s="16">
        <v>4.5</v>
      </c>
      <c r="H258" s="23"/>
      <c r="I258" s="6" t="s">
        <v>474</v>
      </c>
      <c r="J258" s="6" t="s">
        <v>458</v>
      </c>
      <c r="K258" s="4"/>
    </row>
    <row r="259" spans="1:11" x14ac:dyDescent="0.25">
      <c r="A259" t="s">
        <v>71</v>
      </c>
      <c r="B259" s="3">
        <v>1</v>
      </c>
      <c r="C259" s="4">
        <v>38</v>
      </c>
      <c r="D259" s="1">
        <v>45066</v>
      </c>
      <c r="E259" s="1">
        <v>45057</v>
      </c>
      <c r="F259" s="1">
        <v>45059</v>
      </c>
      <c r="G259" s="16">
        <v>9</v>
      </c>
      <c r="H259" s="23"/>
      <c r="I259" s="6" t="s">
        <v>474</v>
      </c>
      <c r="J259" s="6" t="s">
        <v>458</v>
      </c>
      <c r="K259" s="4"/>
    </row>
    <row r="260" spans="1:11" x14ac:dyDescent="0.25">
      <c r="A260" t="s">
        <v>71</v>
      </c>
      <c r="B260" s="3">
        <v>1</v>
      </c>
      <c r="C260" s="4">
        <v>38</v>
      </c>
      <c r="D260" s="1">
        <v>45066</v>
      </c>
      <c r="E260" s="1">
        <v>45058</v>
      </c>
      <c r="F260" s="1">
        <v>45059</v>
      </c>
      <c r="G260" s="16">
        <v>6.5</v>
      </c>
      <c r="H260" s="23"/>
      <c r="I260" s="6" t="s">
        <v>474</v>
      </c>
      <c r="J260" s="6" t="s">
        <v>458</v>
      </c>
      <c r="K260" s="4"/>
    </row>
    <row r="261" spans="1:11" x14ac:dyDescent="0.25">
      <c r="A261" t="s">
        <v>71</v>
      </c>
      <c r="B261" s="3">
        <v>1</v>
      </c>
      <c r="C261" s="4">
        <v>38</v>
      </c>
      <c r="D261" s="1">
        <v>45066</v>
      </c>
      <c r="E261" s="1">
        <v>45059</v>
      </c>
      <c r="F261" s="1">
        <v>45059</v>
      </c>
      <c r="G261" s="16">
        <v>13.5</v>
      </c>
      <c r="H261" s="23"/>
      <c r="I261" s="6" t="s">
        <v>474</v>
      </c>
      <c r="J261" s="6" t="s">
        <v>458</v>
      </c>
      <c r="K261" s="4"/>
    </row>
    <row r="262" spans="1:11" x14ac:dyDescent="0.25">
      <c r="A262" t="s">
        <v>71</v>
      </c>
      <c r="B262" s="3">
        <v>1</v>
      </c>
      <c r="C262" s="4">
        <v>38</v>
      </c>
      <c r="D262" s="1">
        <v>45073</v>
      </c>
      <c r="E262" s="1">
        <v>45060</v>
      </c>
      <c r="F262" s="1">
        <v>45066</v>
      </c>
      <c r="G262" s="16">
        <v>20</v>
      </c>
      <c r="H262" s="23"/>
      <c r="I262" s="6" t="s">
        <v>474</v>
      </c>
      <c r="J262" s="6" t="s">
        <v>458</v>
      </c>
      <c r="K262" s="4"/>
    </row>
    <row r="263" spans="1:11" x14ac:dyDescent="0.25">
      <c r="A263" t="s">
        <v>142</v>
      </c>
      <c r="B263" s="3">
        <v>1</v>
      </c>
      <c r="C263" s="4">
        <v>38</v>
      </c>
      <c r="D263" s="1">
        <v>45108</v>
      </c>
      <c r="E263" s="1">
        <v>45094</v>
      </c>
      <c r="F263" s="1">
        <v>45094</v>
      </c>
      <c r="G263" s="16">
        <v>12.5</v>
      </c>
      <c r="H263" s="23"/>
      <c r="I263" s="6" t="s">
        <v>474</v>
      </c>
      <c r="J263" s="6" t="s">
        <v>458</v>
      </c>
      <c r="K263" s="4"/>
    </row>
    <row r="264" spans="1:11" x14ac:dyDescent="0.25">
      <c r="A264" t="s">
        <v>62</v>
      </c>
      <c r="B264" s="3">
        <v>6</v>
      </c>
      <c r="C264" s="4">
        <v>45</v>
      </c>
      <c r="D264" s="1">
        <v>45185</v>
      </c>
      <c r="E264" s="1">
        <v>45174</v>
      </c>
      <c r="F264" s="1">
        <v>45178</v>
      </c>
      <c r="G264" s="16">
        <v>3</v>
      </c>
      <c r="H264" s="23"/>
      <c r="I264" s="6" t="s">
        <v>474</v>
      </c>
      <c r="J264" s="6" t="s">
        <v>458</v>
      </c>
      <c r="K264" s="4"/>
    </row>
    <row r="265" spans="1:11" x14ac:dyDescent="0.25">
      <c r="A265" t="s">
        <v>62</v>
      </c>
      <c r="B265" s="3">
        <v>6</v>
      </c>
      <c r="C265" s="4">
        <v>45</v>
      </c>
      <c r="D265" s="1">
        <v>45185</v>
      </c>
      <c r="E265" s="1">
        <v>45175</v>
      </c>
      <c r="F265" s="1">
        <v>45178</v>
      </c>
      <c r="G265" s="16">
        <v>6</v>
      </c>
      <c r="H265" s="23"/>
      <c r="I265" s="6" t="s">
        <v>474</v>
      </c>
      <c r="J265" s="6" t="s">
        <v>458</v>
      </c>
      <c r="K265" s="4"/>
    </row>
    <row r="266" spans="1:11" x14ac:dyDescent="0.25">
      <c r="A266" t="s">
        <v>91</v>
      </c>
      <c r="B266" s="3">
        <v>1</v>
      </c>
      <c r="C266" s="4">
        <v>38</v>
      </c>
      <c r="D266" s="1">
        <v>45507</v>
      </c>
      <c r="E266" s="1">
        <v>45498</v>
      </c>
      <c r="F266" s="1">
        <v>45500</v>
      </c>
      <c r="G266" s="16">
        <v>6</v>
      </c>
      <c r="H266" s="23"/>
      <c r="I266" s="6" t="s">
        <v>1931</v>
      </c>
      <c r="J266" s="6" t="s">
        <v>1951</v>
      </c>
      <c r="K266" s="4"/>
    </row>
    <row r="267" spans="1:11" x14ac:dyDescent="0.25">
      <c r="A267" t="s">
        <v>91</v>
      </c>
      <c r="B267" s="3">
        <v>1</v>
      </c>
      <c r="C267" s="4">
        <v>38</v>
      </c>
      <c r="D267" s="1">
        <v>45507</v>
      </c>
      <c r="E267" s="1">
        <v>45499</v>
      </c>
      <c r="F267" s="1">
        <v>45500</v>
      </c>
      <c r="G267" s="16">
        <v>10.5</v>
      </c>
      <c r="H267" s="23"/>
      <c r="I267" s="6" t="s">
        <v>1931</v>
      </c>
      <c r="J267" s="6" t="s">
        <v>1951</v>
      </c>
      <c r="K267" s="4"/>
    </row>
    <row r="268" spans="1:11" x14ac:dyDescent="0.25">
      <c r="A268" t="s">
        <v>91</v>
      </c>
      <c r="B268" s="3">
        <v>1</v>
      </c>
      <c r="C268" s="4">
        <v>38</v>
      </c>
      <c r="D268" s="1">
        <v>45507</v>
      </c>
      <c r="E268" s="1">
        <v>45500</v>
      </c>
      <c r="F268" s="1">
        <v>45500</v>
      </c>
      <c r="G268" s="16">
        <v>10</v>
      </c>
      <c r="H268" s="23"/>
      <c r="I268" s="6" t="s">
        <v>1931</v>
      </c>
      <c r="J268" s="6" t="s">
        <v>1951</v>
      </c>
      <c r="K268" s="4"/>
    </row>
    <row r="269" spans="1:11" x14ac:dyDescent="0.25">
      <c r="A269" t="s">
        <v>91</v>
      </c>
      <c r="B269" s="3">
        <v>1</v>
      </c>
      <c r="C269" s="4">
        <v>38</v>
      </c>
      <c r="D269" s="1">
        <v>45514</v>
      </c>
      <c r="E269" s="1">
        <v>45501</v>
      </c>
      <c r="F269" s="1">
        <v>45507</v>
      </c>
      <c r="G269" s="16">
        <v>9</v>
      </c>
      <c r="H269" s="23"/>
      <c r="I269" s="6" t="s">
        <v>1931</v>
      </c>
      <c r="J269" s="6" t="s">
        <v>1951</v>
      </c>
      <c r="K269" s="4"/>
    </row>
    <row r="270" spans="1:11" x14ac:dyDescent="0.25">
      <c r="A270" t="s">
        <v>91</v>
      </c>
      <c r="B270" s="3">
        <v>1</v>
      </c>
      <c r="C270" s="4">
        <v>38</v>
      </c>
      <c r="D270" s="1">
        <v>45514</v>
      </c>
      <c r="E270" s="1">
        <v>45505</v>
      </c>
      <c r="F270" s="1">
        <v>45507</v>
      </c>
      <c r="G270" s="16">
        <v>6.5</v>
      </c>
      <c r="H270" s="23"/>
      <c r="I270" s="6" t="s">
        <v>1931</v>
      </c>
      <c r="J270" s="6" t="s">
        <v>1951</v>
      </c>
      <c r="K270" s="4"/>
    </row>
    <row r="271" spans="1:11" x14ac:dyDescent="0.25">
      <c r="A271" t="s">
        <v>91</v>
      </c>
      <c r="B271" s="3">
        <v>1</v>
      </c>
      <c r="C271" s="4">
        <v>38</v>
      </c>
      <c r="D271" s="1">
        <v>45514</v>
      </c>
      <c r="E271" s="1">
        <v>45506</v>
      </c>
      <c r="F271" s="1">
        <v>45507</v>
      </c>
      <c r="G271" s="16">
        <v>3.5</v>
      </c>
      <c r="H271" s="23"/>
      <c r="I271" s="6" t="s">
        <v>1931</v>
      </c>
      <c r="J271" s="6" t="s">
        <v>1951</v>
      </c>
      <c r="K271" s="4"/>
    </row>
    <row r="272" spans="1:11" x14ac:dyDescent="0.25">
      <c r="A272" t="s">
        <v>91</v>
      </c>
      <c r="B272" s="3">
        <v>1</v>
      </c>
      <c r="C272" s="4">
        <v>38</v>
      </c>
      <c r="D272" s="1">
        <v>45514</v>
      </c>
      <c r="E272" s="1">
        <v>45506</v>
      </c>
      <c r="F272" s="1">
        <v>45507</v>
      </c>
      <c r="G272" s="16">
        <v>6.5</v>
      </c>
      <c r="H272" s="23"/>
      <c r="I272" s="6" t="s">
        <v>1931</v>
      </c>
      <c r="J272" s="6" t="s">
        <v>1951</v>
      </c>
      <c r="K272" s="4"/>
    </row>
    <row r="273" spans="1:11" x14ac:dyDescent="0.25">
      <c r="A273" t="s">
        <v>91</v>
      </c>
      <c r="B273" s="3">
        <v>1</v>
      </c>
      <c r="C273" s="4">
        <v>38</v>
      </c>
      <c r="D273" s="1">
        <v>45514</v>
      </c>
      <c r="E273" s="1">
        <v>45507</v>
      </c>
      <c r="F273" s="1">
        <v>45507</v>
      </c>
      <c r="G273" s="16">
        <v>16</v>
      </c>
      <c r="H273" s="23"/>
      <c r="I273" s="6" t="s">
        <v>1931</v>
      </c>
      <c r="J273" s="6" t="s">
        <v>1951</v>
      </c>
      <c r="K273" s="4"/>
    </row>
    <row r="274" spans="1:11" x14ac:dyDescent="0.25">
      <c r="A274" t="s">
        <v>91</v>
      </c>
      <c r="B274" s="3">
        <v>1</v>
      </c>
      <c r="C274" s="4">
        <v>38</v>
      </c>
      <c r="D274" s="1">
        <v>45521</v>
      </c>
      <c r="E274" s="1">
        <v>45508</v>
      </c>
      <c r="F274" s="1">
        <v>45514</v>
      </c>
      <c r="G274" s="16">
        <v>12.5</v>
      </c>
      <c r="H274" s="23"/>
      <c r="I274" s="6" t="s">
        <v>1931</v>
      </c>
      <c r="J274" s="6" t="s">
        <v>1951</v>
      </c>
      <c r="K274" s="4"/>
    </row>
    <row r="275" spans="1:11" x14ac:dyDescent="0.25">
      <c r="A275" t="s">
        <v>142</v>
      </c>
      <c r="B275" s="3">
        <v>1</v>
      </c>
      <c r="C275" s="4">
        <v>38</v>
      </c>
      <c r="D275" s="1">
        <v>45534</v>
      </c>
      <c r="E275" s="1">
        <v>45501</v>
      </c>
      <c r="F275" s="1">
        <v>45507</v>
      </c>
      <c r="G275" s="16">
        <v>8.5</v>
      </c>
      <c r="H275" s="23"/>
      <c r="I275" s="6" t="s">
        <v>1931</v>
      </c>
      <c r="J275" s="6" t="s">
        <v>1951</v>
      </c>
      <c r="K275" s="4"/>
    </row>
    <row r="276" spans="1:11" x14ac:dyDescent="0.25">
      <c r="A276" t="s">
        <v>71</v>
      </c>
      <c r="B276" s="3">
        <v>1</v>
      </c>
      <c r="C276" s="4">
        <v>38</v>
      </c>
      <c r="D276" s="1">
        <v>45458</v>
      </c>
      <c r="E276" s="1">
        <v>45450</v>
      </c>
      <c r="F276" s="1">
        <v>45451</v>
      </c>
      <c r="G276" s="16">
        <v>10</v>
      </c>
      <c r="H276" s="23"/>
      <c r="I276" s="6" t="s">
        <v>1745</v>
      </c>
      <c r="J276" s="6" t="s">
        <v>1991</v>
      </c>
      <c r="K276" s="4"/>
    </row>
    <row r="277" spans="1:11" x14ac:dyDescent="0.25">
      <c r="A277" t="s">
        <v>71</v>
      </c>
      <c r="B277" s="3">
        <v>1</v>
      </c>
      <c r="C277" s="4">
        <v>38</v>
      </c>
      <c r="D277" s="1">
        <v>45458</v>
      </c>
      <c r="E277" s="1">
        <v>45451</v>
      </c>
      <c r="F277" s="1">
        <v>45451</v>
      </c>
      <c r="G277" s="16">
        <v>16.5</v>
      </c>
      <c r="H277" s="23"/>
      <c r="I277" s="6" t="s">
        <v>1745</v>
      </c>
      <c r="J277" s="6" t="s">
        <v>1991</v>
      </c>
      <c r="K277" s="4"/>
    </row>
    <row r="278" spans="1:11" x14ac:dyDescent="0.25">
      <c r="A278" t="s">
        <v>142</v>
      </c>
      <c r="B278" s="3">
        <v>3</v>
      </c>
      <c r="C278" s="4">
        <v>45</v>
      </c>
      <c r="D278" s="1">
        <v>45458</v>
      </c>
      <c r="E278" s="1">
        <v>45449</v>
      </c>
      <c r="F278" s="1">
        <v>45451</v>
      </c>
      <c r="G278" s="16">
        <v>5</v>
      </c>
      <c r="H278" s="23"/>
      <c r="I278" s="6" t="s">
        <v>1745</v>
      </c>
      <c r="J278" s="6" t="s">
        <v>1991</v>
      </c>
      <c r="K278" s="4"/>
    </row>
    <row r="279" spans="1:11" x14ac:dyDescent="0.25">
      <c r="A279" t="s">
        <v>71</v>
      </c>
      <c r="B279" s="3">
        <v>1</v>
      </c>
      <c r="C279" s="4">
        <v>38</v>
      </c>
      <c r="D279" s="1">
        <v>45465</v>
      </c>
      <c r="E279" s="1">
        <v>45452</v>
      </c>
      <c r="F279" s="1">
        <v>45458</v>
      </c>
      <c r="G279" s="16">
        <v>9.5</v>
      </c>
      <c r="H279" s="23"/>
      <c r="I279" s="6" t="s">
        <v>1745</v>
      </c>
      <c r="J279" s="6" t="s">
        <v>1991</v>
      </c>
      <c r="K279" s="4"/>
    </row>
    <row r="280" spans="1:11" x14ac:dyDescent="0.25">
      <c r="A280" t="s">
        <v>62</v>
      </c>
      <c r="B280" s="3">
        <v>1</v>
      </c>
      <c r="C280" s="4">
        <v>38</v>
      </c>
      <c r="D280" s="1">
        <v>45465</v>
      </c>
      <c r="E280" s="1">
        <v>45457</v>
      </c>
      <c r="F280" s="1">
        <v>45458</v>
      </c>
      <c r="G280" s="16">
        <v>10.5</v>
      </c>
      <c r="H280" s="23"/>
      <c r="I280" s="6" t="s">
        <v>1745</v>
      </c>
      <c r="J280" s="6" t="s">
        <v>1991</v>
      </c>
      <c r="K280" s="4"/>
    </row>
    <row r="281" spans="1:11" x14ac:dyDescent="0.25">
      <c r="A281" t="s">
        <v>62</v>
      </c>
      <c r="B281" s="3">
        <v>1</v>
      </c>
      <c r="C281" s="4">
        <v>38</v>
      </c>
      <c r="D281" s="1">
        <v>45465</v>
      </c>
      <c r="E281" s="1">
        <v>45458</v>
      </c>
      <c r="F281" s="1">
        <v>45458</v>
      </c>
      <c r="G281" s="16">
        <v>16.5</v>
      </c>
      <c r="H281" s="23"/>
      <c r="I281" s="6" t="s">
        <v>1745</v>
      </c>
      <c r="J281" s="6" t="s">
        <v>1991</v>
      </c>
      <c r="K281" s="4"/>
    </row>
    <row r="282" spans="1:11" x14ac:dyDescent="0.25">
      <c r="A282" t="s">
        <v>136</v>
      </c>
      <c r="B282" s="3">
        <v>1</v>
      </c>
      <c r="C282" s="4">
        <v>33</v>
      </c>
      <c r="D282" s="1">
        <v>45500</v>
      </c>
      <c r="E282" s="1">
        <v>45464</v>
      </c>
      <c r="F282" s="1">
        <v>45465</v>
      </c>
      <c r="G282" s="16">
        <v>8.5</v>
      </c>
      <c r="H282" s="23"/>
      <c r="I282" s="6" t="s">
        <v>1745</v>
      </c>
      <c r="J282" s="6" t="s">
        <v>1991</v>
      </c>
      <c r="K282" s="4"/>
    </row>
    <row r="283" spans="1:11" x14ac:dyDescent="0.25">
      <c r="A283" t="s">
        <v>136</v>
      </c>
      <c r="B283" s="3">
        <v>1</v>
      </c>
      <c r="C283" s="4">
        <v>33</v>
      </c>
      <c r="D283" s="1">
        <v>45500</v>
      </c>
      <c r="E283" s="1">
        <v>45465</v>
      </c>
      <c r="F283" s="1">
        <v>45465</v>
      </c>
      <c r="G283" s="16">
        <v>18</v>
      </c>
      <c r="H283" s="23"/>
      <c r="I283" s="6" t="s">
        <v>1745</v>
      </c>
      <c r="J283" s="6" t="s">
        <v>1991</v>
      </c>
      <c r="K283" s="4"/>
    </row>
    <row r="284" spans="1:11" x14ac:dyDescent="0.25">
      <c r="A284" t="s">
        <v>136</v>
      </c>
      <c r="B284" s="3">
        <v>1</v>
      </c>
      <c r="C284" s="4">
        <v>33</v>
      </c>
      <c r="D284" s="1">
        <v>45500</v>
      </c>
      <c r="E284" s="1">
        <v>45466</v>
      </c>
      <c r="F284" s="1">
        <v>45472</v>
      </c>
      <c r="G284" s="16">
        <v>14</v>
      </c>
      <c r="H284" s="23"/>
      <c r="I284" s="6" t="s">
        <v>1745</v>
      </c>
      <c r="J284" s="6" t="s">
        <v>1991</v>
      </c>
      <c r="K284" s="4"/>
    </row>
    <row r="285" spans="1:11" x14ac:dyDescent="0.25">
      <c r="A285" t="s">
        <v>136</v>
      </c>
      <c r="B285" s="3">
        <v>1</v>
      </c>
      <c r="C285" s="4">
        <v>33</v>
      </c>
      <c r="D285" s="1">
        <v>45500</v>
      </c>
      <c r="E285" s="1">
        <v>45478</v>
      </c>
      <c r="F285" s="1">
        <v>45479</v>
      </c>
      <c r="G285" s="16">
        <v>10</v>
      </c>
      <c r="H285" s="23"/>
      <c r="I285" s="6" t="s">
        <v>1745</v>
      </c>
      <c r="J285" s="6" t="s">
        <v>1991</v>
      </c>
      <c r="K285" s="4"/>
    </row>
    <row r="286" spans="1:11" x14ac:dyDescent="0.25">
      <c r="A286" t="s">
        <v>136</v>
      </c>
      <c r="B286" s="3">
        <v>1</v>
      </c>
      <c r="C286" s="4">
        <v>33</v>
      </c>
      <c r="D286" s="1">
        <v>45500</v>
      </c>
      <c r="E286" s="1">
        <v>45479</v>
      </c>
      <c r="F286" s="1">
        <v>45479</v>
      </c>
      <c r="G286" s="16">
        <v>18.5</v>
      </c>
      <c r="H286" s="23"/>
      <c r="I286" s="6" t="s">
        <v>1745</v>
      </c>
      <c r="J286" s="6" t="s">
        <v>1991</v>
      </c>
      <c r="K286" s="4"/>
    </row>
    <row r="287" spans="1:11" x14ac:dyDescent="0.25">
      <c r="A287" t="s">
        <v>136</v>
      </c>
      <c r="B287" s="3">
        <v>1</v>
      </c>
      <c r="C287" s="4">
        <v>33</v>
      </c>
      <c r="D287" s="1">
        <v>45500</v>
      </c>
      <c r="E287" s="1">
        <v>45480</v>
      </c>
      <c r="F287" s="1">
        <v>45486</v>
      </c>
      <c r="G287" s="16">
        <v>14</v>
      </c>
      <c r="H287" s="23"/>
      <c r="I287" s="6" t="s">
        <v>1745</v>
      </c>
      <c r="J287" s="6" t="s">
        <v>1991</v>
      </c>
      <c r="K287" s="4"/>
    </row>
    <row r="288" spans="1:11" x14ac:dyDescent="0.25">
      <c r="A288" t="s">
        <v>91</v>
      </c>
      <c r="B288" s="3">
        <v>1</v>
      </c>
      <c r="C288" s="4">
        <v>38</v>
      </c>
      <c r="D288" s="1">
        <v>45891</v>
      </c>
      <c r="E288" s="1">
        <v>45881</v>
      </c>
      <c r="F288" s="1">
        <v>45885</v>
      </c>
      <c r="G288" s="16">
        <v>7.5</v>
      </c>
      <c r="H288" s="23"/>
      <c r="I288" s="6" t="s">
        <v>1745</v>
      </c>
      <c r="J288" s="6" t="s">
        <v>1991</v>
      </c>
      <c r="K288" s="4"/>
    </row>
    <row r="289" spans="1:11" x14ac:dyDescent="0.25">
      <c r="A289" t="s">
        <v>91</v>
      </c>
      <c r="B289" s="3">
        <v>1</v>
      </c>
      <c r="C289" s="4">
        <v>38</v>
      </c>
      <c r="D289" s="1">
        <v>45891</v>
      </c>
      <c r="E289" s="1">
        <v>45882</v>
      </c>
      <c r="F289" s="1">
        <v>45885</v>
      </c>
      <c r="G289" s="16">
        <v>14</v>
      </c>
      <c r="H289" s="23"/>
      <c r="I289" s="6" t="s">
        <v>1745</v>
      </c>
      <c r="J289" s="6" t="s">
        <v>1991</v>
      </c>
      <c r="K289" s="4"/>
    </row>
    <row r="290" spans="1:11" x14ac:dyDescent="0.25">
      <c r="A290" t="s">
        <v>91</v>
      </c>
      <c r="B290" s="3">
        <v>1</v>
      </c>
      <c r="C290" s="4">
        <v>38</v>
      </c>
      <c r="D290" s="1">
        <v>45891</v>
      </c>
      <c r="E290" s="1">
        <v>45883</v>
      </c>
      <c r="F290" s="1">
        <v>45885</v>
      </c>
      <c r="G290" s="16">
        <v>7.5</v>
      </c>
      <c r="H290" s="23"/>
      <c r="I290" s="6" t="s">
        <v>1745</v>
      </c>
      <c r="J290" s="6" t="s">
        <v>1991</v>
      </c>
      <c r="K290" s="4"/>
    </row>
    <row r="291" spans="1:11" x14ac:dyDescent="0.25">
      <c r="A291" t="s">
        <v>136</v>
      </c>
      <c r="B291" s="3">
        <v>1</v>
      </c>
      <c r="C291" s="4">
        <v>33</v>
      </c>
      <c r="D291" s="1">
        <v>45898</v>
      </c>
      <c r="E291" s="1">
        <v>45877</v>
      </c>
      <c r="F291" s="1">
        <v>45878</v>
      </c>
      <c r="G291" s="16">
        <v>5</v>
      </c>
      <c r="H291" s="23"/>
      <c r="I291" s="6" t="s">
        <v>1745</v>
      </c>
      <c r="J291" s="6" t="s">
        <v>1991</v>
      </c>
      <c r="K291" s="4"/>
    </row>
    <row r="292" spans="1:11" x14ac:dyDescent="0.25">
      <c r="A292" t="s">
        <v>136</v>
      </c>
      <c r="B292" s="3">
        <v>1</v>
      </c>
      <c r="C292" s="4">
        <v>33</v>
      </c>
      <c r="D292" s="1">
        <v>45898</v>
      </c>
      <c r="E292" s="1">
        <v>45880</v>
      </c>
      <c r="F292" s="1">
        <v>45885</v>
      </c>
      <c r="G292" s="16">
        <v>8</v>
      </c>
      <c r="H292" s="23"/>
      <c r="I292" s="6" t="s">
        <v>1745</v>
      </c>
      <c r="J292" s="6" t="s">
        <v>1991</v>
      </c>
      <c r="K292" s="4"/>
    </row>
    <row r="293" spans="1:11" x14ac:dyDescent="0.25">
      <c r="A293" t="s">
        <v>136</v>
      </c>
      <c r="B293" s="3">
        <v>1</v>
      </c>
      <c r="C293" s="4">
        <v>33</v>
      </c>
      <c r="D293" s="1">
        <v>45898</v>
      </c>
      <c r="E293" s="1">
        <v>45881</v>
      </c>
      <c r="F293" s="1">
        <v>45885</v>
      </c>
      <c r="G293" s="16">
        <v>16</v>
      </c>
      <c r="H293" s="23"/>
      <c r="I293" s="6" t="s">
        <v>1745</v>
      </c>
      <c r="J293" s="6" t="s">
        <v>1991</v>
      </c>
      <c r="K293" s="4"/>
    </row>
    <row r="294" spans="1:11" x14ac:dyDescent="0.25">
      <c r="A294" t="s">
        <v>136</v>
      </c>
      <c r="B294" s="3">
        <v>1</v>
      </c>
      <c r="C294" s="4">
        <v>33</v>
      </c>
      <c r="D294" s="1">
        <v>45898</v>
      </c>
      <c r="E294" s="1">
        <v>45882</v>
      </c>
      <c r="F294" s="1">
        <v>45885</v>
      </c>
      <c r="G294" s="16">
        <v>14.5</v>
      </c>
      <c r="H294" s="23"/>
      <c r="I294" s="6" t="s">
        <v>1745</v>
      </c>
      <c r="J294" s="6" t="s">
        <v>1991</v>
      </c>
      <c r="K294" s="4"/>
    </row>
    <row r="295" spans="1:11" x14ac:dyDescent="0.25">
      <c r="A295" t="s">
        <v>136</v>
      </c>
      <c r="B295" s="3">
        <v>1</v>
      </c>
      <c r="C295" s="4">
        <v>33</v>
      </c>
      <c r="D295" s="1">
        <v>45898</v>
      </c>
      <c r="E295" s="1">
        <v>45883</v>
      </c>
      <c r="F295" s="1">
        <v>45885</v>
      </c>
      <c r="G295" s="16">
        <v>14.5</v>
      </c>
      <c r="H295" s="23"/>
      <c r="I295" s="6" t="s">
        <v>1745</v>
      </c>
      <c r="J295" s="6" t="s">
        <v>1991</v>
      </c>
      <c r="K295" s="4"/>
    </row>
    <row r="296" spans="1:11" x14ac:dyDescent="0.25">
      <c r="A296" t="s">
        <v>136</v>
      </c>
      <c r="B296" s="3">
        <v>1</v>
      </c>
      <c r="C296" s="4">
        <v>33</v>
      </c>
      <c r="D296" s="1">
        <v>45898</v>
      </c>
      <c r="E296" s="1">
        <v>45884</v>
      </c>
      <c r="F296" s="1">
        <v>45885</v>
      </c>
      <c r="G296" s="16">
        <v>1.5</v>
      </c>
      <c r="H296" s="23"/>
      <c r="I296" s="6" t="s">
        <v>1745</v>
      </c>
      <c r="J296" s="6" t="s">
        <v>1991</v>
      </c>
      <c r="K296" s="4"/>
    </row>
    <row r="297" spans="1:11" x14ac:dyDescent="0.25">
      <c r="A297" t="s">
        <v>709</v>
      </c>
      <c r="B297" s="3">
        <v>1</v>
      </c>
      <c r="C297" s="4">
        <v>33</v>
      </c>
      <c r="D297" s="1">
        <v>45766</v>
      </c>
      <c r="E297" s="1">
        <v>45758</v>
      </c>
      <c r="F297" s="1">
        <v>45759</v>
      </c>
      <c r="G297" s="16">
        <v>10</v>
      </c>
      <c r="H297" s="23"/>
      <c r="I297" s="6" t="s">
        <v>706</v>
      </c>
      <c r="J297" s="6" t="s">
        <v>707</v>
      </c>
      <c r="K297" s="4"/>
    </row>
    <row r="298" spans="1:11" x14ac:dyDescent="0.25">
      <c r="A298" t="s">
        <v>709</v>
      </c>
      <c r="B298" s="3">
        <v>1</v>
      </c>
      <c r="C298" s="4">
        <v>33</v>
      </c>
      <c r="D298" s="1">
        <v>45766</v>
      </c>
      <c r="E298" s="1">
        <v>45759</v>
      </c>
      <c r="F298" s="1">
        <v>45759</v>
      </c>
      <c r="G298" s="16">
        <v>12.5</v>
      </c>
      <c r="H298" s="23"/>
      <c r="I298" s="6" t="s">
        <v>706</v>
      </c>
      <c r="J298" s="6" t="s">
        <v>707</v>
      </c>
      <c r="K298" s="4"/>
    </row>
    <row r="299" spans="1:11" x14ac:dyDescent="0.25">
      <c r="A299" t="s">
        <v>118</v>
      </c>
      <c r="B299" s="3">
        <v>1</v>
      </c>
      <c r="C299" s="4">
        <v>33</v>
      </c>
      <c r="D299" s="1">
        <v>45780</v>
      </c>
      <c r="E299" s="1">
        <v>45759</v>
      </c>
      <c r="F299" s="1">
        <v>45759</v>
      </c>
      <c r="G299" s="16">
        <v>7</v>
      </c>
      <c r="H299" s="23"/>
      <c r="I299" s="6" t="s">
        <v>706</v>
      </c>
      <c r="J299" s="6" t="s">
        <v>707</v>
      </c>
      <c r="K299" s="4"/>
    </row>
    <row r="300" spans="1:11" x14ac:dyDescent="0.25">
      <c r="A300" t="s">
        <v>118</v>
      </c>
      <c r="B300" s="3">
        <v>1</v>
      </c>
      <c r="C300" s="4">
        <v>33</v>
      </c>
      <c r="D300" s="1">
        <v>45856</v>
      </c>
      <c r="E300" s="1">
        <v>45807</v>
      </c>
      <c r="F300" s="1">
        <v>45808</v>
      </c>
      <c r="G300" s="16">
        <v>8.5</v>
      </c>
      <c r="H300" s="23"/>
      <c r="I300" s="6" t="s">
        <v>706</v>
      </c>
      <c r="J300" s="6" t="s">
        <v>707</v>
      </c>
      <c r="K300" s="4"/>
    </row>
    <row r="301" spans="1:11" x14ac:dyDescent="0.25">
      <c r="A301" t="s">
        <v>118</v>
      </c>
      <c r="B301" s="3">
        <v>1</v>
      </c>
      <c r="C301" s="4">
        <v>33</v>
      </c>
      <c r="D301" s="1">
        <v>45856</v>
      </c>
      <c r="E301" s="1">
        <v>45808</v>
      </c>
      <c r="F301" s="1">
        <v>45808</v>
      </c>
      <c r="G301" s="16">
        <v>18.5</v>
      </c>
      <c r="H301" s="23"/>
      <c r="I301" s="6" t="s">
        <v>706</v>
      </c>
      <c r="J301" s="6" t="s">
        <v>707</v>
      </c>
      <c r="K301" s="4"/>
    </row>
    <row r="302" spans="1:11" x14ac:dyDescent="0.25">
      <c r="A302" t="s">
        <v>25</v>
      </c>
      <c r="B302" s="3">
        <v>1</v>
      </c>
      <c r="C302" s="4">
        <v>38</v>
      </c>
      <c r="D302" s="1">
        <v>45954</v>
      </c>
      <c r="E302" s="1">
        <v>45757</v>
      </c>
      <c r="F302" s="1">
        <v>45759</v>
      </c>
      <c r="G302" s="16">
        <v>6</v>
      </c>
      <c r="H302" s="23"/>
      <c r="I302" s="6" t="s">
        <v>706</v>
      </c>
      <c r="J302" s="6" t="s">
        <v>707</v>
      </c>
      <c r="K302" s="4"/>
    </row>
    <row r="303" spans="1:11" x14ac:dyDescent="0.25">
      <c r="A303" t="s">
        <v>126</v>
      </c>
      <c r="B303" s="3">
        <v>1</v>
      </c>
      <c r="C303" s="4">
        <v>33</v>
      </c>
      <c r="D303" s="1">
        <v>45583</v>
      </c>
      <c r="E303" s="1">
        <v>45567</v>
      </c>
      <c r="F303" s="1">
        <v>45570</v>
      </c>
      <c r="G303" s="16">
        <v>6.5</v>
      </c>
      <c r="H303" s="23"/>
      <c r="I303" s="6" t="s">
        <v>2183</v>
      </c>
      <c r="J303" s="6" t="s">
        <v>1721</v>
      </c>
      <c r="K303" s="4"/>
    </row>
    <row r="304" spans="1:11" x14ac:dyDescent="0.25">
      <c r="A304" t="s">
        <v>126</v>
      </c>
      <c r="B304" s="3">
        <v>1</v>
      </c>
      <c r="C304" s="4">
        <v>33</v>
      </c>
      <c r="D304" s="1">
        <v>45583</v>
      </c>
      <c r="E304" s="1">
        <v>45568</v>
      </c>
      <c r="F304" s="1">
        <v>45570</v>
      </c>
      <c r="G304" s="16">
        <v>4</v>
      </c>
      <c r="H304" s="23"/>
      <c r="I304" s="6" t="s">
        <v>2183</v>
      </c>
      <c r="J304" s="6" t="s">
        <v>1721</v>
      </c>
      <c r="K304" s="4"/>
    </row>
    <row r="305" spans="1:11" x14ac:dyDescent="0.25">
      <c r="A305" t="s">
        <v>126</v>
      </c>
      <c r="B305" s="3">
        <v>1</v>
      </c>
      <c r="C305" s="4">
        <v>33</v>
      </c>
      <c r="D305" s="1">
        <v>45583</v>
      </c>
      <c r="E305" s="1">
        <v>45569</v>
      </c>
      <c r="F305" s="1">
        <v>45570</v>
      </c>
      <c r="G305" s="16">
        <v>9.5</v>
      </c>
      <c r="H305" s="23"/>
      <c r="I305" s="6" t="s">
        <v>2183</v>
      </c>
      <c r="J305" s="6" t="s">
        <v>1721</v>
      </c>
      <c r="K305" s="4"/>
    </row>
    <row r="306" spans="1:11" x14ac:dyDescent="0.25">
      <c r="A306" t="s">
        <v>142</v>
      </c>
      <c r="B306" s="3">
        <v>1</v>
      </c>
      <c r="C306" s="4">
        <v>38</v>
      </c>
      <c r="D306" s="1">
        <v>45583</v>
      </c>
      <c r="E306" s="1">
        <v>45567</v>
      </c>
      <c r="F306" s="1">
        <v>45570</v>
      </c>
      <c r="G306" s="16">
        <v>6.5</v>
      </c>
      <c r="H306" s="23"/>
      <c r="I306" s="6" t="s">
        <v>2183</v>
      </c>
      <c r="J306" s="6" t="s">
        <v>1721</v>
      </c>
      <c r="K306" s="4"/>
    </row>
    <row r="307" spans="1:11" x14ac:dyDescent="0.25">
      <c r="A307" t="s">
        <v>142</v>
      </c>
      <c r="B307" s="3">
        <v>1</v>
      </c>
      <c r="C307" s="4">
        <v>38</v>
      </c>
      <c r="D307" s="1">
        <v>45583</v>
      </c>
      <c r="E307" s="1">
        <v>45568</v>
      </c>
      <c r="F307" s="1">
        <v>45570</v>
      </c>
      <c r="G307" s="16">
        <v>10</v>
      </c>
      <c r="H307" s="23"/>
      <c r="I307" s="6" t="s">
        <v>2183</v>
      </c>
      <c r="J307" s="6" t="s">
        <v>1721</v>
      </c>
      <c r="K307" s="4"/>
    </row>
    <row r="308" spans="1:11" x14ac:dyDescent="0.25">
      <c r="A308" t="s">
        <v>136</v>
      </c>
      <c r="B308" s="3">
        <v>1</v>
      </c>
      <c r="C308" s="4">
        <v>33</v>
      </c>
      <c r="D308" s="1">
        <v>45590</v>
      </c>
      <c r="E308" s="1">
        <v>45568</v>
      </c>
      <c r="F308" s="1">
        <v>45570</v>
      </c>
      <c r="G308" s="16">
        <v>12.5</v>
      </c>
      <c r="H308" s="23"/>
      <c r="I308" s="6" t="s">
        <v>2183</v>
      </c>
      <c r="J308" s="6" t="s">
        <v>1721</v>
      </c>
      <c r="K308" s="4"/>
    </row>
    <row r="309" spans="1:11" x14ac:dyDescent="0.25">
      <c r="A309" t="s">
        <v>126</v>
      </c>
      <c r="B309" s="3">
        <v>1</v>
      </c>
      <c r="C309" s="4">
        <v>33</v>
      </c>
      <c r="D309" s="1">
        <v>45780</v>
      </c>
      <c r="E309" s="1">
        <v>45569</v>
      </c>
      <c r="F309" s="1">
        <v>45570</v>
      </c>
      <c r="G309" s="16">
        <v>2.5</v>
      </c>
      <c r="H309" s="23"/>
      <c r="I309" s="6" t="s">
        <v>2183</v>
      </c>
      <c r="J309" s="6" t="s">
        <v>1721</v>
      </c>
      <c r="K309" s="4"/>
    </row>
    <row r="310" spans="1:11" x14ac:dyDescent="0.25">
      <c r="A310" t="s">
        <v>126</v>
      </c>
      <c r="B310" s="3">
        <v>1</v>
      </c>
      <c r="C310" s="4">
        <v>33</v>
      </c>
      <c r="D310" s="1">
        <v>45780</v>
      </c>
      <c r="E310" s="1">
        <v>45570</v>
      </c>
      <c r="F310" s="1">
        <v>45570</v>
      </c>
      <c r="G310" s="16">
        <v>9.5</v>
      </c>
      <c r="H310" s="23"/>
      <c r="I310" s="6" t="s">
        <v>2183</v>
      </c>
      <c r="J310" s="6" t="s">
        <v>1721</v>
      </c>
      <c r="K310" s="4"/>
    </row>
    <row r="311" spans="1:11" x14ac:dyDescent="0.25">
      <c r="A311" t="s">
        <v>142</v>
      </c>
      <c r="B311" s="3">
        <v>3</v>
      </c>
      <c r="C311" s="4">
        <v>45</v>
      </c>
      <c r="D311" s="1">
        <v>45458</v>
      </c>
      <c r="E311" s="1">
        <v>45449</v>
      </c>
      <c r="F311" s="1">
        <v>45451</v>
      </c>
      <c r="G311" s="16">
        <v>17</v>
      </c>
      <c r="H311" s="23"/>
      <c r="I311" s="24" t="s">
        <v>2118</v>
      </c>
      <c r="J311" s="6" t="s">
        <v>2114</v>
      </c>
      <c r="K311" s="4"/>
    </row>
    <row r="312" spans="1:11" x14ac:dyDescent="0.25">
      <c r="A312" t="s">
        <v>142</v>
      </c>
      <c r="B312" s="3">
        <v>3</v>
      </c>
      <c r="C312" s="4">
        <v>45</v>
      </c>
      <c r="D312" s="1">
        <v>45458</v>
      </c>
      <c r="E312" s="1">
        <v>45450</v>
      </c>
      <c r="F312" s="1">
        <v>45451</v>
      </c>
      <c r="G312" s="16">
        <v>5</v>
      </c>
      <c r="H312" s="23"/>
      <c r="I312" s="24" t="s">
        <v>2118</v>
      </c>
      <c r="J312" s="6" t="s">
        <v>2114</v>
      </c>
      <c r="K312" s="4"/>
    </row>
    <row r="313" spans="1:11" x14ac:dyDescent="0.25">
      <c r="A313" t="s">
        <v>142</v>
      </c>
      <c r="B313" s="3">
        <v>1</v>
      </c>
      <c r="C313" s="4">
        <v>38</v>
      </c>
      <c r="D313" s="1">
        <v>45465</v>
      </c>
      <c r="E313" s="1">
        <v>45452</v>
      </c>
      <c r="F313" s="1">
        <v>45458</v>
      </c>
      <c r="G313" s="16">
        <v>20</v>
      </c>
      <c r="H313" s="23"/>
      <c r="I313" s="24" t="s">
        <v>2118</v>
      </c>
      <c r="J313" s="6" t="s">
        <v>2114</v>
      </c>
      <c r="K313" s="4"/>
    </row>
    <row r="314" spans="1:11" x14ac:dyDescent="0.25">
      <c r="A314" t="s">
        <v>142</v>
      </c>
      <c r="B314" s="3">
        <v>3</v>
      </c>
      <c r="C314" s="4">
        <v>45</v>
      </c>
      <c r="D314" s="1">
        <v>45583</v>
      </c>
      <c r="E314" s="1">
        <v>45552</v>
      </c>
      <c r="F314" s="1">
        <v>45556</v>
      </c>
      <c r="G314" s="16">
        <v>5</v>
      </c>
      <c r="H314" s="23"/>
      <c r="I314" s="24" t="s">
        <v>2209</v>
      </c>
      <c r="J314" s="6" t="s">
        <v>2210</v>
      </c>
      <c r="K314" s="4"/>
    </row>
    <row r="315" spans="1:11" x14ac:dyDescent="0.25">
      <c r="A315" t="s">
        <v>142</v>
      </c>
      <c r="B315" s="3">
        <v>1</v>
      </c>
      <c r="C315" s="4">
        <v>38</v>
      </c>
      <c r="D315" s="1">
        <v>45696</v>
      </c>
      <c r="E315" s="1">
        <v>45687</v>
      </c>
      <c r="F315" s="1">
        <v>45689</v>
      </c>
      <c r="G315" s="16">
        <v>5</v>
      </c>
      <c r="H315" s="23"/>
      <c r="I315" s="24" t="s">
        <v>2209</v>
      </c>
      <c r="J315" s="6" t="s">
        <v>2210</v>
      </c>
      <c r="K315" s="4"/>
    </row>
    <row r="316" spans="1:11" x14ac:dyDescent="0.25">
      <c r="A316" t="s">
        <v>142</v>
      </c>
      <c r="B316" s="3">
        <v>1</v>
      </c>
      <c r="C316" s="4">
        <v>38</v>
      </c>
      <c r="D316" s="1">
        <v>45696</v>
      </c>
      <c r="E316" s="1">
        <v>45688</v>
      </c>
      <c r="F316" s="1">
        <v>45689</v>
      </c>
      <c r="G316" s="16">
        <v>6.5</v>
      </c>
      <c r="H316" s="23"/>
      <c r="I316" s="24" t="s">
        <v>2209</v>
      </c>
      <c r="J316" s="6" t="s">
        <v>2210</v>
      </c>
      <c r="K316" s="4"/>
    </row>
    <row r="317" spans="1:11" x14ac:dyDescent="0.25">
      <c r="A317" t="s">
        <v>142</v>
      </c>
      <c r="B317" s="3">
        <v>1</v>
      </c>
      <c r="C317" s="4">
        <v>38</v>
      </c>
      <c r="D317" s="1">
        <v>45696</v>
      </c>
      <c r="E317" s="1">
        <v>45689</v>
      </c>
      <c r="F317" s="1">
        <v>45689</v>
      </c>
      <c r="G317" s="16">
        <v>20</v>
      </c>
      <c r="H317" s="23"/>
      <c r="I317" s="24" t="s">
        <v>2209</v>
      </c>
      <c r="J317" s="6" t="s">
        <v>2210</v>
      </c>
      <c r="K317" s="4"/>
    </row>
    <row r="318" spans="1:11" x14ac:dyDescent="0.25">
      <c r="A318" t="s">
        <v>71</v>
      </c>
      <c r="B318" s="3">
        <v>1</v>
      </c>
      <c r="C318" s="4">
        <v>38</v>
      </c>
      <c r="D318" s="1">
        <v>45703</v>
      </c>
      <c r="E318" s="1">
        <v>45694</v>
      </c>
      <c r="F318" s="1">
        <v>45696</v>
      </c>
      <c r="G318" s="16">
        <v>5</v>
      </c>
      <c r="H318" s="23"/>
      <c r="I318" s="24" t="s">
        <v>2209</v>
      </c>
      <c r="J318" s="6" t="s">
        <v>2210</v>
      </c>
      <c r="K318" s="4"/>
    </row>
    <row r="319" spans="1:11" x14ac:dyDescent="0.25">
      <c r="A319" t="s">
        <v>71</v>
      </c>
      <c r="B319" s="3">
        <v>1</v>
      </c>
      <c r="C319" s="4">
        <v>38</v>
      </c>
      <c r="D319" s="1">
        <v>45703</v>
      </c>
      <c r="E319" s="1">
        <v>45695</v>
      </c>
      <c r="F319" s="1">
        <v>45696</v>
      </c>
      <c r="G319" s="16">
        <v>6.5</v>
      </c>
      <c r="H319" s="23"/>
      <c r="I319" s="24" t="s">
        <v>2209</v>
      </c>
      <c r="J319" s="6" t="s">
        <v>2210</v>
      </c>
      <c r="K319" s="4"/>
    </row>
    <row r="320" spans="1:11" x14ac:dyDescent="0.25">
      <c r="A320" t="s">
        <v>71</v>
      </c>
      <c r="B320" s="3">
        <v>1</v>
      </c>
      <c r="C320" s="4">
        <v>38</v>
      </c>
      <c r="D320" s="1">
        <v>45703</v>
      </c>
      <c r="E320" s="1">
        <v>45696</v>
      </c>
      <c r="F320" s="1">
        <v>45696</v>
      </c>
      <c r="G320" s="16">
        <v>19.5</v>
      </c>
      <c r="H320" s="23"/>
      <c r="I320" s="24" t="s">
        <v>2209</v>
      </c>
      <c r="J320" s="6" t="s">
        <v>2210</v>
      </c>
      <c r="K320" s="4"/>
    </row>
    <row r="321" spans="1:11" x14ac:dyDescent="0.25">
      <c r="A321" t="s">
        <v>142</v>
      </c>
      <c r="B321" s="3">
        <v>1</v>
      </c>
      <c r="C321" s="4">
        <v>38</v>
      </c>
      <c r="D321" s="1">
        <v>45717</v>
      </c>
      <c r="E321" s="1">
        <v>45695</v>
      </c>
      <c r="F321" s="1">
        <v>45696</v>
      </c>
      <c r="G321" s="16">
        <v>6.5</v>
      </c>
      <c r="H321" s="23"/>
      <c r="I321" s="24" t="s">
        <v>2209</v>
      </c>
      <c r="J321" s="6" t="s">
        <v>2210</v>
      </c>
      <c r="K321" s="4"/>
    </row>
    <row r="322" spans="1:11" x14ac:dyDescent="0.25">
      <c r="A322" t="s">
        <v>142</v>
      </c>
      <c r="B322" s="3">
        <v>1</v>
      </c>
      <c r="C322" s="4">
        <v>38</v>
      </c>
      <c r="D322" s="1">
        <v>45717</v>
      </c>
      <c r="E322" s="1">
        <v>45696</v>
      </c>
      <c r="F322" s="1">
        <v>45696</v>
      </c>
      <c r="G322" s="16">
        <v>20</v>
      </c>
      <c r="H322" s="23"/>
      <c r="I322" s="24" t="s">
        <v>2209</v>
      </c>
      <c r="J322" s="6" t="s">
        <v>2210</v>
      </c>
      <c r="K322" s="4"/>
    </row>
    <row r="323" spans="1:11" x14ac:dyDescent="0.25">
      <c r="B323"/>
      <c r="C323"/>
      <c r="D323"/>
      <c r="E323"/>
      <c r="F323"/>
      <c r="G323"/>
      <c r="H323"/>
      <c r="I323" s="6"/>
    </row>
    <row r="324" spans="1:11" x14ac:dyDescent="0.25">
      <c r="B324"/>
      <c r="C324"/>
      <c r="D324"/>
      <c r="E324"/>
      <c r="F324"/>
      <c r="G324"/>
      <c r="H324"/>
      <c r="I324" s="6"/>
    </row>
    <row r="325" spans="1:11" x14ac:dyDescent="0.25">
      <c r="B325"/>
      <c r="C325"/>
      <c r="D325"/>
      <c r="E325"/>
      <c r="F325"/>
      <c r="G325"/>
      <c r="H325"/>
      <c r="I325" s="6"/>
    </row>
    <row r="326" spans="1:11" x14ac:dyDescent="0.25">
      <c r="B326"/>
      <c r="C326"/>
      <c r="D326"/>
      <c r="E326"/>
      <c r="F326"/>
      <c r="G326"/>
      <c r="H326"/>
      <c r="I326" s="6"/>
    </row>
    <row r="327" spans="1:11" x14ac:dyDescent="0.25">
      <c r="B327"/>
      <c r="C327"/>
      <c r="D327"/>
      <c r="E327"/>
      <c r="F327"/>
      <c r="G327"/>
      <c r="H327"/>
      <c r="I327" s="6"/>
    </row>
    <row r="328" spans="1:11" x14ac:dyDescent="0.25">
      <c r="B328"/>
      <c r="C328"/>
      <c r="D328"/>
      <c r="E328"/>
      <c r="F328"/>
      <c r="G328"/>
      <c r="H328"/>
      <c r="I328" s="6"/>
    </row>
    <row r="329" spans="1:11" x14ac:dyDescent="0.25">
      <c r="B329"/>
      <c r="C329"/>
      <c r="D329"/>
      <c r="E329"/>
      <c r="F329"/>
      <c r="G329"/>
      <c r="H329"/>
      <c r="I329" s="6"/>
    </row>
    <row r="330" spans="1:11" x14ac:dyDescent="0.25">
      <c r="B330"/>
      <c r="C330"/>
      <c r="D330"/>
      <c r="E330"/>
      <c r="F330"/>
      <c r="G330"/>
      <c r="H330"/>
      <c r="I330" s="6"/>
    </row>
    <row r="331" spans="1:11" x14ac:dyDescent="0.25">
      <c r="B331"/>
      <c r="C331"/>
      <c r="D331"/>
      <c r="E331"/>
      <c r="F331"/>
      <c r="G331"/>
      <c r="H331"/>
      <c r="I331" s="6"/>
    </row>
    <row r="332" spans="1:11" x14ac:dyDescent="0.25">
      <c r="B332"/>
      <c r="C332"/>
      <c r="D332"/>
      <c r="E332"/>
      <c r="F332"/>
      <c r="G332"/>
      <c r="H332"/>
      <c r="I332" s="6"/>
    </row>
    <row r="333" spans="1:11" x14ac:dyDescent="0.25">
      <c r="B333"/>
      <c r="C333"/>
      <c r="D333"/>
      <c r="E333"/>
      <c r="F333"/>
      <c r="G333"/>
      <c r="H333"/>
      <c r="I333" s="6"/>
    </row>
    <row r="334" spans="1:11" x14ac:dyDescent="0.25">
      <c r="B334"/>
      <c r="C334"/>
      <c r="D334"/>
      <c r="E334"/>
      <c r="F334"/>
      <c r="G334"/>
      <c r="H334"/>
      <c r="I334" s="6"/>
    </row>
    <row r="335" spans="1:11" x14ac:dyDescent="0.25">
      <c r="B335"/>
      <c r="C335"/>
      <c r="D335"/>
      <c r="E335"/>
      <c r="F335"/>
      <c r="G335"/>
      <c r="H335"/>
      <c r="I335" s="6"/>
    </row>
    <row r="336" spans="1:11" x14ac:dyDescent="0.25">
      <c r="B336"/>
      <c r="C336"/>
      <c r="D336"/>
      <c r="E336"/>
      <c r="F336"/>
      <c r="G336"/>
      <c r="H336"/>
      <c r="I336" s="6"/>
    </row>
    <row r="337" spans="2:9" x14ac:dyDescent="0.25">
      <c r="B337"/>
      <c r="C337"/>
      <c r="D337"/>
      <c r="E337"/>
      <c r="F337"/>
      <c r="G337"/>
      <c r="H337"/>
      <c r="I337" s="6"/>
    </row>
    <row r="338" spans="2:9" x14ac:dyDescent="0.25">
      <c r="B338"/>
      <c r="C338"/>
      <c r="D338"/>
      <c r="E338"/>
      <c r="F338"/>
      <c r="G338"/>
      <c r="H338"/>
      <c r="I338" s="6"/>
    </row>
    <row r="339" spans="2:9" x14ac:dyDescent="0.25">
      <c r="B339"/>
      <c r="C339"/>
      <c r="D339"/>
      <c r="E339"/>
      <c r="F339"/>
      <c r="G339"/>
      <c r="H339"/>
      <c r="I339" s="6"/>
    </row>
    <row r="340" spans="2:9" x14ac:dyDescent="0.25">
      <c r="B340"/>
      <c r="C340"/>
      <c r="D340"/>
      <c r="E340"/>
      <c r="F340"/>
      <c r="G340"/>
      <c r="H340"/>
      <c r="I340" s="6"/>
    </row>
    <row r="341" spans="2:9" x14ac:dyDescent="0.25">
      <c r="B341"/>
      <c r="C341"/>
      <c r="D341"/>
      <c r="E341"/>
      <c r="F341"/>
      <c r="G341"/>
      <c r="H341"/>
      <c r="I341" s="6"/>
    </row>
    <row r="342" spans="2:9" x14ac:dyDescent="0.25">
      <c r="B342"/>
      <c r="C342"/>
      <c r="D342"/>
      <c r="E342"/>
      <c r="F342"/>
      <c r="G342"/>
      <c r="H342"/>
      <c r="I342" s="6"/>
    </row>
    <row r="343" spans="2:9" x14ac:dyDescent="0.25">
      <c r="B343"/>
      <c r="C343"/>
      <c r="D343"/>
      <c r="E343"/>
      <c r="F343"/>
      <c r="G343"/>
      <c r="H343"/>
      <c r="I343" s="6"/>
    </row>
    <row r="344" spans="2:9" x14ac:dyDescent="0.25">
      <c r="B344"/>
      <c r="C344"/>
      <c r="D344"/>
      <c r="E344"/>
      <c r="F344"/>
      <c r="G344"/>
      <c r="H344"/>
      <c r="I344" s="6"/>
    </row>
    <row r="345" spans="2:9" x14ac:dyDescent="0.25">
      <c r="B345"/>
      <c r="C345"/>
      <c r="D345"/>
      <c r="E345"/>
      <c r="F345"/>
      <c r="G345"/>
      <c r="H345"/>
      <c r="I345" s="6"/>
    </row>
    <row r="346" spans="2:9" x14ac:dyDescent="0.25">
      <c r="B346"/>
      <c r="C346"/>
      <c r="D346"/>
      <c r="E346"/>
      <c r="F346"/>
      <c r="G346"/>
      <c r="H346"/>
      <c r="I346" s="6"/>
    </row>
    <row r="347" spans="2:9" x14ac:dyDescent="0.25">
      <c r="B347"/>
      <c r="C347"/>
      <c r="D347"/>
      <c r="E347"/>
      <c r="F347"/>
      <c r="G347"/>
      <c r="H347"/>
      <c r="I347" s="6"/>
    </row>
    <row r="348" spans="2:9" x14ac:dyDescent="0.25">
      <c r="B348"/>
      <c r="C348"/>
      <c r="D348"/>
      <c r="E348"/>
      <c r="F348"/>
      <c r="G348"/>
      <c r="H348"/>
      <c r="I348" s="6"/>
    </row>
    <row r="349" spans="2:9" x14ac:dyDescent="0.25">
      <c r="B349"/>
      <c r="C349"/>
      <c r="D349"/>
      <c r="E349"/>
      <c r="F349"/>
      <c r="G349"/>
      <c r="H349"/>
      <c r="I349" s="6"/>
    </row>
    <row r="350" spans="2:9" x14ac:dyDescent="0.25">
      <c r="B350"/>
      <c r="C350"/>
      <c r="D350"/>
      <c r="E350"/>
      <c r="F350"/>
      <c r="G350"/>
      <c r="H350"/>
      <c r="I350" s="6"/>
    </row>
    <row r="351" spans="2:9" x14ac:dyDescent="0.25">
      <c r="B351"/>
      <c r="C351"/>
      <c r="D351"/>
      <c r="E351"/>
      <c r="F351"/>
      <c r="G351"/>
      <c r="H351"/>
      <c r="I351" s="6"/>
    </row>
    <row r="352" spans="2:9" x14ac:dyDescent="0.25">
      <c r="B352"/>
      <c r="C352"/>
      <c r="D352"/>
      <c r="E352"/>
      <c r="F352"/>
      <c r="G352"/>
      <c r="H352"/>
      <c r="I352" s="6"/>
    </row>
    <row r="353" spans="2:9" x14ac:dyDescent="0.25">
      <c r="B353"/>
      <c r="C353"/>
      <c r="D353"/>
      <c r="E353"/>
      <c r="F353"/>
      <c r="G353"/>
      <c r="H353"/>
      <c r="I353" s="6"/>
    </row>
    <row r="354" spans="2:9" x14ac:dyDescent="0.25">
      <c r="B354"/>
      <c r="C354"/>
      <c r="D354"/>
      <c r="E354"/>
      <c r="F354"/>
      <c r="G354"/>
      <c r="H354"/>
      <c r="I354" s="6"/>
    </row>
    <row r="355" spans="2:9" x14ac:dyDescent="0.25">
      <c r="B355"/>
      <c r="C355"/>
      <c r="D355"/>
      <c r="E355"/>
      <c r="F355"/>
      <c r="G355"/>
      <c r="H355"/>
      <c r="I355" s="6"/>
    </row>
    <row r="356" spans="2:9" x14ac:dyDescent="0.25">
      <c r="B356"/>
      <c r="C356"/>
      <c r="D356"/>
      <c r="E356"/>
      <c r="F356"/>
      <c r="G356"/>
      <c r="H356"/>
      <c r="I356" s="6"/>
    </row>
    <row r="357" spans="2:9" x14ac:dyDescent="0.25">
      <c r="B357"/>
      <c r="C357"/>
      <c r="D357"/>
      <c r="E357"/>
      <c r="F357"/>
      <c r="G357"/>
      <c r="H357"/>
      <c r="I357" s="6"/>
    </row>
    <row r="358" spans="2:9" x14ac:dyDescent="0.25">
      <c r="B358"/>
      <c r="C358"/>
      <c r="D358"/>
      <c r="E358"/>
      <c r="F358"/>
      <c r="G358"/>
      <c r="H358"/>
      <c r="I358" s="6"/>
    </row>
    <row r="359" spans="2:9" x14ac:dyDescent="0.25">
      <c r="B359"/>
      <c r="C359"/>
      <c r="D359"/>
      <c r="E359"/>
      <c r="F359"/>
      <c r="G359"/>
      <c r="H359"/>
      <c r="I359" s="6"/>
    </row>
    <row r="360" spans="2:9" x14ac:dyDescent="0.25">
      <c r="B360"/>
      <c r="C360"/>
      <c r="D360"/>
      <c r="E360"/>
      <c r="F360"/>
      <c r="G360"/>
      <c r="H360"/>
      <c r="I360" s="6"/>
    </row>
    <row r="361" spans="2:9" x14ac:dyDescent="0.25">
      <c r="B361"/>
      <c r="C361"/>
      <c r="D361"/>
      <c r="E361"/>
      <c r="F361"/>
      <c r="G361"/>
      <c r="H361"/>
      <c r="I361" s="6"/>
    </row>
    <row r="362" spans="2:9" x14ac:dyDescent="0.25">
      <c r="B362"/>
      <c r="C362"/>
      <c r="D362"/>
      <c r="E362"/>
      <c r="F362"/>
      <c r="G362"/>
      <c r="H362"/>
      <c r="I362" s="6"/>
    </row>
    <row r="363" spans="2:9" x14ac:dyDescent="0.25">
      <c r="B363"/>
      <c r="C363"/>
      <c r="D363"/>
      <c r="E363"/>
      <c r="F363"/>
      <c r="G363"/>
      <c r="H363"/>
      <c r="I363" s="6"/>
    </row>
    <row r="364" spans="2:9" x14ac:dyDescent="0.25">
      <c r="B364"/>
      <c r="C364"/>
      <c r="D364"/>
      <c r="E364"/>
      <c r="F364"/>
      <c r="G364"/>
      <c r="H364"/>
      <c r="I364" s="6"/>
    </row>
    <row r="365" spans="2:9" x14ac:dyDescent="0.25">
      <c r="B365"/>
      <c r="C365"/>
      <c r="D365"/>
      <c r="E365"/>
      <c r="F365"/>
      <c r="G365"/>
      <c r="H365"/>
      <c r="I365" s="6"/>
    </row>
    <row r="366" spans="2:9" x14ac:dyDescent="0.25">
      <c r="B366"/>
      <c r="C366"/>
      <c r="D366"/>
      <c r="E366"/>
      <c r="F366"/>
      <c r="G366"/>
      <c r="H366"/>
      <c r="I366" s="6"/>
    </row>
    <row r="367" spans="2:9" x14ac:dyDescent="0.25">
      <c r="B367"/>
      <c r="C367"/>
      <c r="D367"/>
      <c r="E367"/>
      <c r="F367"/>
      <c r="G367"/>
      <c r="H367"/>
      <c r="I367" s="6"/>
    </row>
    <row r="368" spans="2:9" x14ac:dyDescent="0.25">
      <c r="B368"/>
      <c r="C368"/>
      <c r="D368"/>
      <c r="E368"/>
      <c r="F368"/>
      <c r="G368"/>
      <c r="H368"/>
      <c r="I368" s="6"/>
    </row>
    <row r="369" spans="2:9" x14ac:dyDescent="0.25">
      <c r="B369"/>
      <c r="C369"/>
      <c r="D369"/>
      <c r="E369"/>
      <c r="F369"/>
      <c r="G369"/>
      <c r="H369"/>
      <c r="I369" s="6"/>
    </row>
    <row r="370" spans="2:9" x14ac:dyDescent="0.25">
      <c r="B370"/>
      <c r="C370"/>
      <c r="D370"/>
      <c r="E370"/>
      <c r="F370"/>
      <c r="G370"/>
      <c r="H370"/>
      <c r="I370" s="6"/>
    </row>
    <row r="371" spans="2:9" x14ac:dyDescent="0.25">
      <c r="B371"/>
      <c r="C371"/>
      <c r="D371"/>
      <c r="E371"/>
      <c r="F371"/>
      <c r="G371"/>
      <c r="H371"/>
      <c r="I371" s="6"/>
    </row>
    <row r="372" spans="2:9" x14ac:dyDescent="0.25">
      <c r="B372"/>
      <c r="C372"/>
      <c r="D372"/>
      <c r="E372"/>
      <c r="F372"/>
      <c r="G372"/>
      <c r="H372"/>
      <c r="I372" s="6"/>
    </row>
    <row r="373" spans="2:9" x14ac:dyDescent="0.25">
      <c r="B373"/>
      <c r="C373"/>
      <c r="D373"/>
      <c r="E373"/>
      <c r="F373"/>
      <c r="G373"/>
      <c r="H373"/>
      <c r="I373" s="6"/>
    </row>
    <row r="374" spans="2:9" x14ac:dyDescent="0.25">
      <c r="B374"/>
      <c r="C374"/>
      <c r="D374"/>
      <c r="E374"/>
      <c r="F374"/>
      <c r="G374"/>
      <c r="H374"/>
      <c r="I374" s="6"/>
    </row>
    <row r="375" spans="2:9" x14ac:dyDescent="0.25">
      <c r="B375"/>
      <c r="C375"/>
      <c r="D375"/>
      <c r="E375"/>
      <c r="F375"/>
      <c r="G375"/>
      <c r="H375"/>
      <c r="I375" s="6"/>
    </row>
    <row r="376" spans="2:9" x14ac:dyDescent="0.25">
      <c r="B376"/>
      <c r="C376"/>
      <c r="D376"/>
      <c r="E376"/>
      <c r="F376"/>
      <c r="G376"/>
      <c r="H376"/>
      <c r="I376" s="6"/>
    </row>
    <row r="377" spans="2:9" x14ac:dyDescent="0.25">
      <c r="B377"/>
      <c r="C377"/>
      <c r="D377"/>
      <c r="E377"/>
      <c r="F377"/>
      <c r="G377"/>
      <c r="H377"/>
      <c r="I377" s="6"/>
    </row>
    <row r="378" spans="2:9" x14ac:dyDescent="0.25">
      <c r="B378"/>
      <c r="C378"/>
      <c r="D378"/>
      <c r="E378"/>
      <c r="F378"/>
      <c r="G378"/>
      <c r="H378"/>
      <c r="I378" s="6"/>
    </row>
    <row r="379" spans="2:9" x14ac:dyDescent="0.25">
      <c r="B379"/>
      <c r="C379"/>
      <c r="D379"/>
      <c r="E379"/>
      <c r="F379"/>
      <c r="G379"/>
      <c r="H379"/>
      <c r="I379" s="6"/>
    </row>
    <row r="380" spans="2:9" x14ac:dyDescent="0.25">
      <c r="B380"/>
      <c r="C380"/>
      <c r="D380"/>
      <c r="E380"/>
      <c r="F380"/>
      <c r="G380"/>
      <c r="H380"/>
      <c r="I380" s="6"/>
    </row>
    <row r="381" spans="2:9" x14ac:dyDescent="0.25">
      <c r="B381"/>
      <c r="C381"/>
      <c r="D381"/>
      <c r="E381"/>
      <c r="F381"/>
      <c r="G381"/>
      <c r="H381"/>
      <c r="I381" s="6"/>
    </row>
    <row r="382" spans="2:9" x14ac:dyDescent="0.25">
      <c r="B382"/>
      <c r="C382"/>
      <c r="D382"/>
      <c r="E382"/>
      <c r="F382"/>
      <c r="G382"/>
      <c r="H382"/>
      <c r="I382" s="6"/>
    </row>
    <row r="383" spans="2:9" x14ac:dyDescent="0.25">
      <c r="B383"/>
      <c r="C383"/>
      <c r="D383"/>
      <c r="E383"/>
      <c r="F383"/>
      <c r="G383"/>
      <c r="H383"/>
      <c r="I383" s="6"/>
    </row>
    <row r="384" spans="2:9" x14ac:dyDescent="0.25">
      <c r="B384"/>
      <c r="C384"/>
      <c r="D384"/>
      <c r="E384"/>
      <c r="F384"/>
      <c r="G384"/>
      <c r="H384"/>
      <c r="I384" s="6"/>
    </row>
    <row r="385" spans="2:9" x14ac:dyDescent="0.25">
      <c r="B385"/>
      <c r="C385"/>
      <c r="D385"/>
      <c r="E385"/>
      <c r="F385"/>
      <c r="G385"/>
      <c r="H385"/>
      <c r="I385" s="6"/>
    </row>
    <row r="386" spans="2:9" x14ac:dyDescent="0.25">
      <c r="B386"/>
      <c r="C386"/>
      <c r="D386"/>
      <c r="E386"/>
      <c r="F386"/>
      <c r="G386"/>
      <c r="H386"/>
      <c r="I386" s="6"/>
    </row>
    <row r="387" spans="2:9" x14ac:dyDescent="0.25">
      <c r="B387"/>
      <c r="C387"/>
      <c r="D387"/>
      <c r="E387"/>
      <c r="F387"/>
      <c r="G387"/>
      <c r="H387"/>
      <c r="I387" s="6"/>
    </row>
    <row r="388" spans="2:9" x14ac:dyDescent="0.25">
      <c r="B388"/>
      <c r="C388"/>
      <c r="D388"/>
      <c r="E388"/>
      <c r="F388"/>
      <c r="G388"/>
      <c r="H388"/>
      <c r="I388" s="6"/>
    </row>
    <row r="389" spans="2:9" x14ac:dyDescent="0.25">
      <c r="B389"/>
      <c r="C389"/>
      <c r="D389"/>
      <c r="E389"/>
      <c r="F389"/>
      <c r="G389"/>
      <c r="H389"/>
      <c r="I389" s="6"/>
    </row>
    <row r="390" spans="2:9" x14ac:dyDescent="0.25">
      <c r="B390"/>
      <c r="C390"/>
      <c r="D390"/>
      <c r="E390"/>
      <c r="F390"/>
      <c r="G390"/>
      <c r="H390"/>
      <c r="I390" s="6"/>
    </row>
    <row r="391" spans="2:9" x14ac:dyDescent="0.25">
      <c r="B391"/>
      <c r="C391"/>
      <c r="D391"/>
      <c r="E391"/>
      <c r="F391"/>
      <c r="G391"/>
      <c r="H391"/>
      <c r="I391" s="6"/>
    </row>
    <row r="392" spans="2:9" x14ac:dyDescent="0.25">
      <c r="B392"/>
      <c r="C392"/>
      <c r="D392"/>
      <c r="E392"/>
      <c r="F392"/>
      <c r="G392"/>
      <c r="H392"/>
      <c r="I392" s="6"/>
    </row>
    <row r="393" spans="2:9" x14ac:dyDescent="0.25">
      <c r="B393"/>
      <c r="C393"/>
      <c r="D393"/>
      <c r="E393"/>
      <c r="F393"/>
      <c r="G393"/>
      <c r="H393"/>
      <c r="I393" s="6"/>
    </row>
    <row r="394" spans="2:9" x14ac:dyDescent="0.25">
      <c r="B394"/>
      <c r="C394"/>
      <c r="D394"/>
      <c r="E394"/>
      <c r="F394"/>
      <c r="G394"/>
      <c r="H394"/>
      <c r="I394" s="6"/>
    </row>
    <row r="395" spans="2:9" x14ac:dyDescent="0.25">
      <c r="B395"/>
      <c r="C395"/>
      <c r="D395"/>
      <c r="E395"/>
      <c r="F395"/>
      <c r="G395"/>
      <c r="H395"/>
      <c r="I395" s="6"/>
    </row>
    <row r="396" spans="2:9" x14ac:dyDescent="0.25">
      <c r="B396"/>
      <c r="C396"/>
      <c r="D396"/>
      <c r="E396"/>
      <c r="F396"/>
      <c r="G396"/>
      <c r="H396"/>
      <c r="I396" s="6"/>
    </row>
    <row r="397" spans="2:9" x14ac:dyDescent="0.25">
      <c r="B397"/>
      <c r="C397"/>
      <c r="D397"/>
      <c r="E397"/>
      <c r="F397"/>
      <c r="G397"/>
      <c r="H397"/>
      <c r="I397" s="6"/>
    </row>
    <row r="398" spans="2:9" x14ac:dyDescent="0.25">
      <c r="B398"/>
      <c r="C398"/>
      <c r="D398"/>
      <c r="E398"/>
      <c r="F398"/>
      <c r="G398"/>
      <c r="H398"/>
      <c r="I398" s="6"/>
    </row>
    <row r="399" spans="2:9" x14ac:dyDescent="0.25">
      <c r="B399"/>
      <c r="C399"/>
      <c r="D399"/>
      <c r="E399"/>
      <c r="F399"/>
      <c r="G399"/>
      <c r="H399"/>
      <c r="I399" s="6"/>
    </row>
    <row r="400" spans="2:9" x14ac:dyDescent="0.25">
      <c r="B400"/>
      <c r="C400"/>
      <c r="D400"/>
      <c r="E400"/>
      <c r="F400"/>
      <c r="G400"/>
      <c r="H400"/>
      <c r="I400" s="6"/>
    </row>
    <row r="401" spans="2:9" x14ac:dyDescent="0.25">
      <c r="B401"/>
      <c r="C401"/>
      <c r="D401"/>
      <c r="E401"/>
      <c r="F401"/>
      <c r="G401"/>
      <c r="H401"/>
      <c r="I401" s="6"/>
    </row>
    <row r="402" spans="2:9" x14ac:dyDescent="0.25">
      <c r="B402"/>
      <c r="C402"/>
      <c r="D402"/>
      <c r="E402"/>
      <c r="F402"/>
      <c r="G402"/>
      <c r="H402"/>
      <c r="I402" s="6"/>
    </row>
    <row r="403" spans="2:9" x14ac:dyDescent="0.25">
      <c r="B403"/>
      <c r="C403"/>
      <c r="D403"/>
      <c r="E403"/>
      <c r="F403"/>
      <c r="G403"/>
      <c r="H403"/>
      <c r="I403" s="6"/>
    </row>
    <row r="404" spans="2:9" x14ac:dyDescent="0.25">
      <c r="B404"/>
      <c r="C404"/>
      <c r="D404"/>
      <c r="E404"/>
      <c r="F404"/>
      <c r="G404"/>
      <c r="H404"/>
      <c r="I404" s="6"/>
    </row>
    <row r="405" spans="2:9" x14ac:dyDescent="0.25">
      <c r="B405"/>
      <c r="C405"/>
      <c r="D405"/>
      <c r="E405"/>
      <c r="F405"/>
      <c r="G405"/>
      <c r="H405"/>
      <c r="I405" s="6"/>
    </row>
    <row r="406" spans="2:9" x14ac:dyDescent="0.25">
      <c r="B406"/>
      <c r="C406"/>
      <c r="D406"/>
      <c r="E406"/>
      <c r="F406"/>
      <c r="G406"/>
      <c r="H406"/>
      <c r="I406" s="6"/>
    </row>
    <row r="407" spans="2:9" x14ac:dyDescent="0.25">
      <c r="B407"/>
      <c r="C407"/>
      <c r="D407"/>
      <c r="E407"/>
      <c r="F407"/>
      <c r="G407"/>
      <c r="H407"/>
      <c r="I407" s="6"/>
    </row>
    <row r="408" spans="2:9" x14ac:dyDescent="0.25">
      <c r="B408"/>
      <c r="C408"/>
      <c r="D408"/>
      <c r="E408"/>
      <c r="F408"/>
      <c r="G408"/>
      <c r="H408"/>
      <c r="I408" s="6"/>
    </row>
    <row r="409" spans="2:9" x14ac:dyDescent="0.25">
      <c r="B409"/>
      <c r="C409"/>
      <c r="D409"/>
      <c r="E409"/>
      <c r="F409"/>
      <c r="G409"/>
      <c r="H409"/>
      <c r="I409" s="6"/>
    </row>
    <row r="410" spans="2:9" x14ac:dyDescent="0.25">
      <c r="B410"/>
      <c r="C410"/>
      <c r="D410"/>
      <c r="E410"/>
      <c r="F410"/>
      <c r="G410"/>
      <c r="H410"/>
      <c r="I410" s="6"/>
    </row>
    <row r="411" spans="2:9" x14ac:dyDescent="0.25">
      <c r="B411"/>
      <c r="C411"/>
      <c r="D411"/>
      <c r="E411"/>
      <c r="F411"/>
      <c r="G411"/>
      <c r="H411"/>
      <c r="I411" s="6"/>
    </row>
    <row r="412" spans="2:9" x14ac:dyDescent="0.25">
      <c r="B412"/>
      <c r="C412"/>
      <c r="D412"/>
      <c r="E412"/>
      <c r="F412"/>
      <c r="G412"/>
      <c r="H412"/>
      <c r="I412" s="6"/>
    </row>
    <row r="413" spans="2:9" x14ac:dyDescent="0.25">
      <c r="B413"/>
      <c r="C413"/>
      <c r="D413"/>
      <c r="E413"/>
      <c r="F413"/>
      <c r="G413"/>
      <c r="H413"/>
      <c r="I413" s="6"/>
    </row>
    <row r="414" spans="2:9" x14ac:dyDescent="0.25">
      <c r="B414"/>
      <c r="C414"/>
      <c r="D414"/>
      <c r="E414"/>
      <c r="F414"/>
      <c r="G414"/>
      <c r="H414"/>
      <c r="I414" s="6"/>
    </row>
    <row r="415" spans="2:9" x14ac:dyDescent="0.25">
      <c r="B415"/>
      <c r="C415"/>
      <c r="D415"/>
      <c r="E415"/>
      <c r="F415"/>
      <c r="G415"/>
      <c r="H415"/>
      <c r="I415" s="6"/>
    </row>
    <row r="416" spans="2:9" x14ac:dyDescent="0.25">
      <c r="B416"/>
      <c r="C416"/>
      <c r="D416"/>
      <c r="E416"/>
      <c r="F416"/>
      <c r="G416"/>
      <c r="H416"/>
      <c r="I416" s="6"/>
    </row>
    <row r="417" spans="2:9" x14ac:dyDescent="0.25">
      <c r="B417"/>
      <c r="C417"/>
      <c r="D417"/>
      <c r="E417"/>
      <c r="F417"/>
      <c r="G417"/>
      <c r="H417"/>
      <c r="I417" s="6"/>
    </row>
    <row r="418" spans="2:9" x14ac:dyDescent="0.25">
      <c r="B418"/>
      <c r="C418"/>
      <c r="D418"/>
      <c r="E418"/>
      <c r="F418"/>
      <c r="G418"/>
      <c r="H418"/>
      <c r="I418" s="6"/>
    </row>
    <row r="419" spans="2:9" x14ac:dyDescent="0.25">
      <c r="B419"/>
      <c r="C419"/>
      <c r="D419"/>
      <c r="E419"/>
      <c r="F419"/>
      <c r="G419"/>
      <c r="H419"/>
      <c r="I419" s="6"/>
    </row>
    <row r="420" spans="2:9" x14ac:dyDescent="0.25">
      <c r="B420"/>
      <c r="C420"/>
      <c r="D420"/>
      <c r="E420"/>
      <c r="F420"/>
      <c r="G420"/>
      <c r="H420"/>
      <c r="I420" s="6"/>
    </row>
    <row r="421" spans="2:9" x14ac:dyDescent="0.25">
      <c r="B421"/>
      <c r="C421"/>
      <c r="D421"/>
      <c r="E421"/>
      <c r="F421"/>
      <c r="G421"/>
      <c r="H421"/>
      <c r="I421" s="6"/>
    </row>
    <row r="422" spans="2:9" x14ac:dyDescent="0.25">
      <c r="B422"/>
      <c r="C422"/>
      <c r="D422"/>
      <c r="E422"/>
      <c r="F422"/>
      <c r="G422"/>
      <c r="H422"/>
      <c r="I422" s="6"/>
    </row>
    <row r="423" spans="2:9" x14ac:dyDescent="0.25">
      <c r="B423"/>
      <c r="C423"/>
      <c r="D423"/>
      <c r="E423"/>
      <c r="F423"/>
      <c r="G423"/>
      <c r="H423"/>
      <c r="I423" s="6"/>
    </row>
    <row r="424" spans="2:9" x14ac:dyDescent="0.25">
      <c r="B424"/>
      <c r="C424"/>
      <c r="D424"/>
      <c r="E424"/>
      <c r="F424"/>
      <c r="G424"/>
      <c r="H424"/>
      <c r="I424" s="6"/>
    </row>
    <row r="425" spans="2:9" x14ac:dyDescent="0.25">
      <c r="B425"/>
      <c r="C425"/>
      <c r="D425"/>
      <c r="E425"/>
      <c r="F425"/>
      <c r="G425"/>
      <c r="H425"/>
      <c r="I425" s="6"/>
    </row>
    <row r="426" spans="2:9" x14ac:dyDescent="0.25">
      <c r="B426"/>
      <c r="C426"/>
      <c r="D426"/>
      <c r="E426"/>
      <c r="F426"/>
      <c r="G426"/>
      <c r="H426"/>
      <c r="I426" s="6"/>
    </row>
    <row r="427" spans="2:9" x14ac:dyDescent="0.25">
      <c r="B427"/>
      <c r="C427"/>
      <c r="D427"/>
      <c r="E427"/>
      <c r="F427"/>
      <c r="G427"/>
      <c r="H427"/>
      <c r="I427" s="6"/>
    </row>
    <row r="428" spans="2:9" x14ac:dyDescent="0.25">
      <c r="B428"/>
      <c r="C428"/>
      <c r="D428"/>
      <c r="E428"/>
      <c r="F428"/>
      <c r="G428"/>
      <c r="H428"/>
      <c r="I428" s="6"/>
    </row>
    <row r="429" spans="2:9" x14ac:dyDescent="0.25">
      <c r="B429"/>
      <c r="C429"/>
      <c r="D429"/>
      <c r="E429"/>
      <c r="F429"/>
      <c r="G429"/>
      <c r="H429"/>
      <c r="I429" s="6"/>
    </row>
    <row r="430" spans="2:9" x14ac:dyDescent="0.25">
      <c r="B430"/>
      <c r="C430"/>
      <c r="D430"/>
      <c r="E430"/>
      <c r="F430"/>
      <c r="G430"/>
      <c r="H430"/>
      <c r="I430" s="6"/>
    </row>
    <row r="431" spans="2:9" x14ac:dyDescent="0.25">
      <c r="B431"/>
      <c r="C431"/>
      <c r="D431"/>
      <c r="E431"/>
      <c r="F431"/>
      <c r="G431"/>
      <c r="H431"/>
      <c r="I431" s="6"/>
    </row>
    <row r="432" spans="2:9" x14ac:dyDescent="0.25">
      <c r="B432"/>
      <c r="C432"/>
      <c r="D432"/>
      <c r="E432"/>
      <c r="F432"/>
      <c r="G432"/>
      <c r="H432"/>
      <c r="I432" s="6"/>
    </row>
    <row r="433" spans="2:9" x14ac:dyDescent="0.25">
      <c r="B433"/>
      <c r="C433"/>
      <c r="D433"/>
      <c r="E433"/>
      <c r="F433"/>
      <c r="G433"/>
      <c r="H433"/>
      <c r="I433" s="6"/>
    </row>
    <row r="434" spans="2:9" x14ac:dyDescent="0.25">
      <c r="B434"/>
      <c r="C434"/>
      <c r="D434"/>
      <c r="E434"/>
      <c r="F434"/>
      <c r="G434"/>
      <c r="H434"/>
      <c r="I434" s="6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83199-8F7F-494A-B817-519C42DCB5D9}">
  <dimension ref="A1:G12"/>
  <sheetViews>
    <sheetView workbookViewId="0">
      <selection activeCell="F6" sqref="F6"/>
    </sheetView>
  </sheetViews>
  <sheetFormatPr defaultRowHeight="15" x14ac:dyDescent="0.25"/>
  <cols>
    <col min="1" max="1" width="15.5703125" bestFit="1" customWidth="1"/>
    <col min="2" max="2" width="17" bestFit="1" customWidth="1"/>
    <col min="7" max="7" width="17.5703125" bestFit="1" customWidth="1"/>
  </cols>
  <sheetData>
    <row r="1" spans="1:7" x14ac:dyDescent="0.25">
      <c r="A1" t="s">
        <v>2605</v>
      </c>
      <c r="B1" t="s">
        <v>2603</v>
      </c>
      <c r="C1" t="s">
        <v>8</v>
      </c>
      <c r="D1" t="s">
        <v>26</v>
      </c>
      <c r="E1" t="s">
        <v>700</v>
      </c>
      <c r="F1" t="s">
        <v>229</v>
      </c>
      <c r="G1" t="s">
        <v>1902</v>
      </c>
    </row>
    <row r="2" spans="1:7" x14ac:dyDescent="0.25">
      <c r="A2" t="s">
        <v>1889</v>
      </c>
      <c r="B2" t="s">
        <v>1878</v>
      </c>
      <c r="C2">
        <v>6</v>
      </c>
      <c r="D2">
        <v>5</v>
      </c>
      <c r="E2">
        <v>6</v>
      </c>
      <c r="F2">
        <v>0</v>
      </c>
      <c r="G2">
        <v>23</v>
      </c>
    </row>
    <row r="3" spans="1:7" x14ac:dyDescent="0.25">
      <c r="A3" t="s">
        <v>1890</v>
      </c>
      <c r="B3" t="s">
        <v>1879</v>
      </c>
      <c r="C3">
        <v>6</v>
      </c>
      <c r="D3">
        <v>5</v>
      </c>
      <c r="E3">
        <v>6</v>
      </c>
      <c r="F3">
        <v>0</v>
      </c>
      <c r="G3">
        <v>27</v>
      </c>
    </row>
    <row r="4" spans="1:7" x14ac:dyDescent="0.25">
      <c r="A4" t="s">
        <v>1891</v>
      </c>
      <c r="B4" t="s">
        <v>14</v>
      </c>
      <c r="C4">
        <v>40</v>
      </c>
      <c r="D4">
        <v>30</v>
      </c>
      <c r="E4">
        <v>40</v>
      </c>
      <c r="F4">
        <v>0</v>
      </c>
      <c r="G4">
        <v>100</v>
      </c>
    </row>
    <row r="5" spans="1:7" x14ac:dyDescent="0.25">
      <c r="A5" t="s">
        <v>1892</v>
      </c>
      <c r="B5" t="s">
        <v>61</v>
      </c>
      <c r="C5">
        <v>16</v>
      </c>
      <c r="D5">
        <v>5</v>
      </c>
      <c r="E5">
        <v>0</v>
      </c>
      <c r="F5">
        <v>0</v>
      </c>
      <c r="G5">
        <v>23</v>
      </c>
    </row>
    <row r="6" spans="1:7" x14ac:dyDescent="0.25">
      <c r="A6" t="s">
        <v>1893</v>
      </c>
      <c r="B6" t="s">
        <v>466</v>
      </c>
      <c r="C6">
        <v>6</v>
      </c>
      <c r="D6">
        <v>9.5</v>
      </c>
      <c r="E6">
        <v>0</v>
      </c>
      <c r="F6">
        <v>10</v>
      </c>
      <c r="G6">
        <v>40</v>
      </c>
    </row>
    <row r="7" spans="1:7" x14ac:dyDescent="0.25">
      <c r="A7" t="s">
        <v>1894</v>
      </c>
      <c r="B7" t="s">
        <v>467</v>
      </c>
      <c r="C7">
        <v>26</v>
      </c>
      <c r="D7">
        <v>20</v>
      </c>
      <c r="E7">
        <v>0</v>
      </c>
      <c r="F7">
        <v>25</v>
      </c>
      <c r="G7">
        <v>70</v>
      </c>
    </row>
    <row r="8" spans="1:7" x14ac:dyDescent="0.25">
      <c r="A8" t="s">
        <v>1895</v>
      </c>
      <c r="B8" t="s">
        <v>1880</v>
      </c>
      <c r="C8">
        <v>6</v>
      </c>
      <c r="D8">
        <v>6</v>
      </c>
      <c r="E8">
        <v>8</v>
      </c>
      <c r="F8">
        <v>8</v>
      </c>
      <c r="G8">
        <v>23</v>
      </c>
    </row>
    <row r="9" spans="1:7" x14ac:dyDescent="0.25">
      <c r="A9" t="s">
        <v>1896</v>
      </c>
      <c r="B9" t="s">
        <v>1897</v>
      </c>
      <c r="C9">
        <v>14</v>
      </c>
      <c r="D9">
        <v>12</v>
      </c>
      <c r="E9">
        <v>14</v>
      </c>
      <c r="F9">
        <v>14</v>
      </c>
      <c r="G9">
        <v>28</v>
      </c>
    </row>
    <row r="10" spans="1:7" x14ac:dyDescent="0.25">
      <c r="A10" t="s">
        <v>1898</v>
      </c>
      <c r="B10" t="s">
        <v>1881</v>
      </c>
      <c r="C10">
        <v>14</v>
      </c>
      <c r="D10">
        <v>14</v>
      </c>
      <c r="E10">
        <v>0</v>
      </c>
      <c r="F10">
        <v>0</v>
      </c>
      <c r="G10">
        <v>25</v>
      </c>
    </row>
    <row r="11" spans="1:7" x14ac:dyDescent="0.25">
      <c r="A11" t="s">
        <v>1899</v>
      </c>
      <c r="B11" t="s">
        <v>227</v>
      </c>
      <c r="C11">
        <v>20</v>
      </c>
      <c r="D11">
        <v>25</v>
      </c>
      <c r="E11">
        <v>0</v>
      </c>
      <c r="F11">
        <v>80</v>
      </c>
      <c r="G11">
        <v>140</v>
      </c>
    </row>
    <row r="12" spans="1:7" x14ac:dyDescent="0.25">
      <c r="A12" t="s">
        <v>1900</v>
      </c>
      <c r="B12" t="s">
        <v>1901</v>
      </c>
      <c r="C12">
        <v>4</v>
      </c>
      <c r="D12">
        <v>5</v>
      </c>
      <c r="E12">
        <v>0</v>
      </c>
      <c r="F12">
        <v>0</v>
      </c>
      <c r="G12">
        <v>22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7D50-8B77-4880-8CA0-13AB8F588BF7}">
  <dimension ref="A1:P19"/>
  <sheetViews>
    <sheetView workbookViewId="0">
      <selection activeCell="S10" sqref="S10"/>
    </sheetView>
  </sheetViews>
  <sheetFormatPr defaultRowHeight="15" x14ac:dyDescent="0.25"/>
  <cols>
    <col min="1" max="1" width="9.7109375" bestFit="1" customWidth="1"/>
    <col min="15" max="15" width="22.85546875" bestFit="1" customWidth="1"/>
    <col min="16" max="16" width="13.5703125" bestFit="1" customWidth="1"/>
  </cols>
  <sheetData>
    <row r="1" spans="1:16" ht="15.75" thickBot="1" x14ac:dyDescent="0.3">
      <c r="A1" t="s">
        <v>1888</v>
      </c>
      <c r="O1" t="s">
        <v>2563</v>
      </c>
      <c r="P1" s="6" t="s">
        <v>1872</v>
      </c>
    </row>
    <row r="2" spans="1:16" x14ac:dyDescent="0.25">
      <c r="A2" s="33">
        <v>2023</v>
      </c>
      <c r="B2" s="29" t="s">
        <v>218</v>
      </c>
      <c r="C2" s="26" t="s">
        <v>217</v>
      </c>
      <c r="D2" s="25" t="s">
        <v>53</v>
      </c>
      <c r="E2" s="26" t="s">
        <v>52</v>
      </c>
      <c r="F2" s="25" t="s">
        <v>275</v>
      </c>
      <c r="G2" s="26" t="s">
        <v>276</v>
      </c>
      <c r="H2" s="25" t="s">
        <v>307</v>
      </c>
      <c r="I2" s="29" t="s">
        <v>306</v>
      </c>
      <c r="J2" s="25" t="s">
        <v>477</v>
      </c>
      <c r="K2" s="26" t="s">
        <v>476</v>
      </c>
      <c r="O2" t="s">
        <v>1877</v>
      </c>
      <c r="P2" s="32">
        <v>6000000</v>
      </c>
    </row>
    <row r="3" spans="1:16" ht="15.75" thickBot="1" x14ac:dyDescent="0.3">
      <c r="A3" s="34"/>
      <c r="B3" s="30" t="s">
        <v>196</v>
      </c>
      <c r="C3" s="28" t="s">
        <v>195</v>
      </c>
      <c r="D3" s="27" t="s">
        <v>1730</v>
      </c>
      <c r="E3" s="28" t="s">
        <v>1630</v>
      </c>
      <c r="F3" s="27" t="s">
        <v>431</v>
      </c>
      <c r="G3" s="28" t="s">
        <v>666</v>
      </c>
      <c r="H3" s="27" t="s">
        <v>1722</v>
      </c>
      <c r="I3" s="30" t="s">
        <v>1921</v>
      </c>
      <c r="J3" s="27" t="s">
        <v>458</v>
      </c>
      <c r="K3" s="28" t="s">
        <v>474</v>
      </c>
      <c r="O3" t="s">
        <v>1875</v>
      </c>
      <c r="P3" s="2">
        <v>44621</v>
      </c>
    </row>
    <row r="4" spans="1:16" ht="15.75" thickBot="1" x14ac:dyDescent="0.3">
      <c r="O4" t="s">
        <v>1876</v>
      </c>
      <c r="P4" s="2">
        <v>45716</v>
      </c>
    </row>
    <row r="5" spans="1:16" x14ac:dyDescent="0.25">
      <c r="A5" s="33">
        <v>2024</v>
      </c>
      <c r="B5" s="29" t="s">
        <v>1929</v>
      </c>
      <c r="C5" s="26" t="s">
        <v>1930</v>
      </c>
      <c r="D5" s="25" t="s">
        <v>1991</v>
      </c>
      <c r="E5" s="26" t="s">
        <v>1745</v>
      </c>
      <c r="F5" s="25" t="s">
        <v>637</v>
      </c>
      <c r="G5" s="26" t="s">
        <v>636</v>
      </c>
      <c r="H5" s="25" t="s">
        <v>1721</v>
      </c>
      <c r="I5" s="26" t="s">
        <v>2183</v>
      </c>
      <c r="J5" s="25" t="s">
        <v>2114</v>
      </c>
      <c r="K5" s="26" t="s">
        <v>2118</v>
      </c>
      <c r="O5" t="s">
        <v>1874</v>
      </c>
      <c r="P5" s="6" t="s">
        <v>1873</v>
      </c>
    </row>
    <row r="6" spans="1:16" ht="15.75" thickBot="1" x14ac:dyDescent="0.3">
      <c r="A6" s="34"/>
      <c r="B6" s="30" t="s">
        <v>632</v>
      </c>
      <c r="C6" s="28" t="s">
        <v>1931</v>
      </c>
      <c r="D6" s="27" t="s">
        <v>707</v>
      </c>
      <c r="E6" s="28" t="s">
        <v>706</v>
      </c>
      <c r="F6" s="27" t="s">
        <v>1764</v>
      </c>
      <c r="G6" s="28" t="s">
        <v>1624</v>
      </c>
      <c r="H6" s="27" t="s">
        <v>2142</v>
      </c>
      <c r="I6" s="28" t="s">
        <v>2141</v>
      </c>
      <c r="J6" s="27" t="s">
        <v>2210</v>
      </c>
      <c r="K6" s="28" t="s">
        <v>2209</v>
      </c>
    </row>
    <row r="7" spans="1:16" ht="15.75" thickBot="1" x14ac:dyDescent="0.3"/>
    <row r="8" spans="1:16" x14ac:dyDescent="0.25">
      <c r="A8" s="33">
        <v>2025</v>
      </c>
      <c r="B8" s="29" t="s">
        <v>218</v>
      </c>
      <c r="C8" s="26" t="s">
        <v>1886</v>
      </c>
      <c r="D8" s="25" t="s">
        <v>1730</v>
      </c>
      <c r="E8" s="26" t="s">
        <v>2554</v>
      </c>
      <c r="F8" s="25"/>
      <c r="G8" s="26"/>
      <c r="H8" s="25"/>
      <c r="I8" s="26"/>
      <c r="J8" s="25"/>
      <c r="K8" s="26"/>
    </row>
    <row r="9" spans="1:16" ht="15.75" thickBot="1" x14ac:dyDescent="0.3">
      <c r="A9" s="34"/>
      <c r="B9" s="30"/>
      <c r="C9" s="28"/>
      <c r="D9" s="27"/>
      <c r="E9" s="28"/>
      <c r="F9" s="27"/>
      <c r="G9" s="28"/>
      <c r="H9" s="27"/>
      <c r="I9" s="28"/>
      <c r="J9" s="27"/>
      <c r="K9" s="28"/>
    </row>
    <row r="11" spans="1:16" x14ac:dyDescent="0.25">
      <c r="A11" t="s">
        <v>1903</v>
      </c>
    </row>
    <row r="12" spans="1:16" x14ac:dyDescent="0.25">
      <c r="B12" t="s">
        <v>1904</v>
      </c>
    </row>
    <row r="13" spans="1:16" x14ac:dyDescent="0.25">
      <c r="B13" t="s">
        <v>1905</v>
      </c>
    </row>
    <row r="19" spans="1:2" x14ac:dyDescent="0.25">
      <c r="A19" s="1">
        <v>45791</v>
      </c>
      <c r="B19" t="s">
        <v>2553</v>
      </c>
    </row>
  </sheetData>
  <mergeCells count="3">
    <mergeCell ref="A2:A3"/>
    <mergeCell ref="A5:A6"/>
    <mergeCell ref="A8:A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1413E-D438-4FD7-A74B-BF23C606FC6C}">
  <dimension ref="A1:E785"/>
  <sheetViews>
    <sheetView topLeftCell="A753" workbookViewId="0">
      <selection activeCell="D758" sqref="D758"/>
    </sheetView>
  </sheetViews>
  <sheetFormatPr defaultRowHeight="15" x14ac:dyDescent="0.25"/>
  <cols>
    <col min="1" max="1" width="8.7109375" bestFit="1" customWidth="1"/>
    <col min="2" max="2" width="12.7109375" bestFit="1" customWidth="1"/>
    <col min="3" max="4" width="30.7109375" customWidth="1"/>
    <col min="5" max="5" width="9.42578125" customWidth="1"/>
  </cols>
  <sheetData>
    <row r="1" spans="1:5" s="8" customFormat="1" x14ac:dyDescent="0.25">
      <c r="A1" s="10" t="s">
        <v>729</v>
      </c>
      <c r="B1" s="10" t="s">
        <v>730</v>
      </c>
      <c r="C1" s="10" t="s">
        <v>731</v>
      </c>
      <c r="D1" s="10" t="s">
        <v>2562</v>
      </c>
      <c r="E1" s="10" t="s">
        <v>732</v>
      </c>
    </row>
    <row r="2" spans="1:5" x14ac:dyDescent="0.25">
      <c r="A2" s="11">
        <v>44227</v>
      </c>
      <c r="B2" s="12" t="s">
        <v>733</v>
      </c>
      <c r="C2" s="12" t="s">
        <v>734</v>
      </c>
      <c r="D2" s="12"/>
      <c r="E2" s="13">
        <v>-142.5</v>
      </c>
    </row>
    <row r="3" spans="1:5" x14ac:dyDescent="0.25">
      <c r="A3" s="11">
        <v>44227</v>
      </c>
      <c r="B3" s="12" t="s">
        <v>735</v>
      </c>
      <c r="C3" s="12" t="s">
        <v>736</v>
      </c>
      <c r="D3" s="12"/>
      <c r="E3" s="13">
        <v>-304.5</v>
      </c>
    </row>
    <row r="4" spans="1:5" x14ac:dyDescent="0.25">
      <c r="A4" s="11">
        <v>44255</v>
      </c>
      <c r="B4" s="12" t="s">
        <v>737</v>
      </c>
      <c r="C4" s="12" t="s">
        <v>738</v>
      </c>
      <c r="D4" s="12"/>
      <c r="E4" s="13">
        <v>-57</v>
      </c>
    </row>
    <row r="5" spans="1:5" x14ac:dyDescent="0.25">
      <c r="A5" s="11">
        <v>44316</v>
      </c>
      <c r="B5" s="12" t="s">
        <v>739</v>
      </c>
      <c r="C5" s="12" t="s">
        <v>740</v>
      </c>
      <c r="D5" s="12"/>
      <c r="E5" s="13">
        <v>-178.5</v>
      </c>
    </row>
    <row r="6" spans="1:5" x14ac:dyDescent="0.25">
      <c r="A6" s="11">
        <v>44377</v>
      </c>
      <c r="B6" s="12" t="s">
        <v>741</v>
      </c>
      <c r="C6" s="12" t="s">
        <v>742</v>
      </c>
      <c r="D6" s="12"/>
      <c r="E6" s="13">
        <v>-898.5</v>
      </c>
    </row>
    <row r="7" spans="1:5" x14ac:dyDescent="0.25">
      <c r="A7" s="11">
        <v>44377</v>
      </c>
      <c r="B7" s="12" t="s">
        <v>743</v>
      </c>
      <c r="C7" s="12" t="s">
        <v>744</v>
      </c>
      <c r="D7" s="12"/>
      <c r="E7" s="13">
        <v>-283.5</v>
      </c>
    </row>
    <row r="8" spans="1:5" x14ac:dyDescent="0.25">
      <c r="A8" s="11">
        <v>44377</v>
      </c>
      <c r="B8" s="12" t="s">
        <v>745</v>
      </c>
      <c r="C8" s="12" t="s">
        <v>746</v>
      </c>
      <c r="D8" s="12"/>
      <c r="E8" s="13">
        <v>-619.5</v>
      </c>
    </row>
    <row r="9" spans="1:5" x14ac:dyDescent="0.25">
      <c r="A9" s="11">
        <v>44408</v>
      </c>
      <c r="B9" s="12" t="s">
        <v>747</v>
      </c>
      <c r="C9" s="12" t="s">
        <v>748</v>
      </c>
      <c r="D9" s="12"/>
      <c r="E9" s="13">
        <v>-177</v>
      </c>
    </row>
    <row r="10" spans="1:5" x14ac:dyDescent="0.25">
      <c r="A10" s="11">
        <v>44408</v>
      </c>
      <c r="B10" s="12" t="s">
        <v>749</v>
      </c>
      <c r="C10" s="12" t="s">
        <v>750</v>
      </c>
      <c r="D10" s="12"/>
      <c r="E10" s="13">
        <v>-108</v>
      </c>
    </row>
    <row r="11" spans="1:5" x14ac:dyDescent="0.25">
      <c r="A11" s="11">
        <v>44408</v>
      </c>
      <c r="B11" s="12" t="s">
        <v>751</v>
      </c>
      <c r="C11" s="12" t="s">
        <v>752</v>
      </c>
      <c r="D11" s="12"/>
      <c r="E11" s="13">
        <v>-213</v>
      </c>
    </row>
    <row r="12" spans="1:5" x14ac:dyDescent="0.25">
      <c r="A12" s="11">
        <v>44408</v>
      </c>
      <c r="B12" s="12" t="s">
        <v>753</v>
      </c>
      <c r="C12" s="12" t="s">
        <v>750</v>
      </c>
      <c r="D12" s="12"/>
      <c r="E12" s="13">
        <v>-178.5</v>
      </c>
    </row>
    <row r="13" spans="1:5" x14ac:dyDescent="0.25">
      <c r="A13" s="11">
        <v>44408</v>
      </c>
      <c r="B13" s="12" t="s">
        <v>754</v>
      </c>
      <c r="C13" s="12" t="s">
        <v>755</v>
      </c>
      <c r="D13" s="12"/>
      <c r="E13" s="13">
        <v>-1048.5</v>
      </c>
    </row>
    <row r="14" spans="1:5" x14ac:dyDescent="0.25">
      <c r="A14" s="11">
        <v>44408</v>
      </c>
      <c r="B14" s="12" t="s">
        <v>756</v>
      </c>
      <c r="C14" s="12" t="s">
        <v>757</v>
      </c>
      <c r="D14" s="12"/>
      <c r="E14" s="13">
        <v>-265.5</v>
      </c>
    </row>
    <row r="15" spans="1:5" x14ac:dyDescent="0.25">
      <c r="A15" s="11">
        <v>44408</v>
      </c>
      <c r="B15" s="12" t="s">
        <v>758</v>
      </c>
      <c r="C15" s="12" t="s">
        <v>759</v>
      </c>
      <c r="D15" s="12"/>
      <c r="E15" s="13">
        <v>-168</v>
      </c>
    </row>
    <row r="16" spans="1:5" x14ac:dyDescent="0.25">
      <c r="A16" s="11">
        <v>44408</v>
      </c>
      <c r="B16" s="12" t="s">
        <v>760</v>
      </c>
      <c r="C16" s="12" t="s">
        <v>761</v>
      </c>
      <c r="D16" s="12"/>
      <c r="E16" s="13">
        <v>-373.5</v>
      </c>
    </row>
    <row r="17" spans="1:5" x14ac:dyDescent="0.25">
      <c r="A17" s="11">
        <v>44408</v>
      </c>
      <c r="B17" s="12" t="s">
        <v>762</v>
      </c>
      <c r="C17" s="12" t="s">
        <v>763</v>
      </c>
      <c r="D17" s="12"/>
      <c r="E17" s="13">
        <v>-36</v>
      </c>
    </row>
    <row r="18" spans="1:5" x14ac:dyDescent="0.25">
      <c r="A18" s="11">
        <v>44408</v>
      </c>
      <c r="B18" s="12" t="s">
        <v>764</v>
      </c>
      <c r="C18" s="12" t="s">
        <v>759</v>
      </c>
      <c r="D18" s="12"/>
      <c r="E18" s="13">
        <v>-160.5</v>
      </c>
    </row>
    <row r="19" spans="1:5" x14ac:dyDescent="0.25">
      <c r="A19" s="11">
        <v>44439</v>
      </c>
      <c r="B19" s="12" t="s">
        <v>765</v>
      </c>
      <c r="C19" s="12" t="s">
        <v>766</v>
      </c>
      <c r="D19" s="12"/>
      <c r="E19" s="13">
        <v>-29.5</v>
      </c>
    </row>
    <row r="20" spans="1:5" x14ac:dyDescent="0.25">
      <c r="A20" s="11">
        <v>44439</v>
      </c>
      <c r="B20" s="12" t="s">
        <v>767</v>
      </c>
      <c r="C20" s="12" t="s">
        <v>768</v>
      </c>
      <c r="D20" s="12"/>
      <c r="E20" s="13">
        <v>-126</v>
      </c>
    </row>
    <row r="21" spans="1:5" x14ac:dyDescent="0.25">
      <c r="A21" s="11">
        <v>44439</v>
      </c>
      <c r="B21" s="12" t="s">
        <v>769</v>
      </c>
      <c r="C21" s="12" t="s">
        <v>768</v>
      </c>
      <c r="D21" s="12"/>
      <c r="E21" s="13">
        <v>-126</v>
      </c>
    </row>
    <row r="22" spans="1:5" x14ac:dyDescent="0.25">
      <c r="A22" s="11">
        <v>44439</v>
      </c>
      <c r="B22" s="12" t="s">
        <v>770</v>
      </c>
      <c r="C22" s="12" t="s">
        <v>771</v>
      </c>
      <c r="D22" s="12"/>
      <c r="E22" s="13">
        <v>-124.5</v>
      </c>
    </row>
    <row r="23" spans="1:5" x14ac:dyDescent="0.25">
      <c r="A23" s="11">
        <v>44439</v>
      </c>
      <c r="B23" s="12" t="s">
        <v>772</v>
      </c>
      <c r="C23" s="12" t="s">
        <v>773</v>
      </c>
      <c r="D23" s="12"/>
      <c r="E23" s="13">
        <v>-160.5</v>
      </c>
    </row>
    <row r="24" spans="1:5" x14ac:dyDescent="0.25">
      <c r="A24" s="11">
        <v>44439</v>
      </c>
      <c r="B24" s="12" t="s">
        <v>774</v>
      </c>
      <c r="C24" s="12" t="s">
        <v>771</v>
      </c>
      <c r="D24" s="12"/>
      <c r="E24" s="13">
        <v>-196.5</v>
      </c>
    </row>
    <row r="25" spans="1:5" x14ac:dyDescent="0.25">
      <c r="A25" s="11">
        <v>44469</v>
      </c>
      <c r="B25" s="12" t="s">
        <v>775</v>
      </c>
      <c r="C25" s="12" t="s">
        <v>776</v>
      </c>
      <c r="D25" s="12"/>
      <c r="E25" s="13">
        <v>-268.5</v>
      </c>
    </row>
    <row r="26" spans="1:5" x14ac:dyDescent="0.25">
      <c r="A26" s="11">
        <v>44469</v>
      </c>
      <c r="B26" s="12" t="s">
        <v>777</v>
      </c>
      <c r="C26" s="12" t="s">
        <v>778</v>
      </c>
      <c r="D26" s="12"/>
      <c r="E26" s="13">
        <v>-1825.5</v>
      </c>
    </row>
    <row r="27" spans="1:5" x14ac:dyDescent="0.25">
      <c r="A27" s="11">
        <v>44469</v>
      </c>
      <c r="B27" s="12" t="s">
        <v>779</v>
      </c>
      <c r="C27" s="12" t="s">
        <v>780</v>
      </c>
      <c r="D27" s="12"/>
      <c r="E27" s="13">
        <v>-1095</v>
      </c>
    </row>
    <row r="28" spans="1:5" x14ac:dyDescent="0.25">
      <c r="A28" s="11">
        <v>44469</v>
      </c>
      <c r="B28" s="12" t="s">
        <v>781</v>
      </c>
      <c r="C28" s="12" t="s">
        <v>780</v>
      </c>
      <c r="D28" s="12"/>
      <c r="E28" s="13">
        <v>-285</v>
      </c>
    </row>
    <row r="29" spans="1:5" x14ac:dyDescent="0.25">
      <c r="A29" s="11">
        <v>44469</v>
      </c>
      <c r="B29" s="12" t="s">
        <v>782</v>
      </c>
      <c r="C29" s="12" t="s">
        <v>783</v>
      </c>
      <c r="D29" s="12"/>
      <c r="E29" s="13">
        <v>-106.5</v>
      </c>
    </row>
    <row r="30" spans="1:5" x14ac:dyDescent="0.25">
      <c r="A30" s="11">
        <v>44469</v>
      </c>
      <c r="B30" s="12" t="s">
        <v>784</v>
      </c>
      <c r="C30" s="12" t="s">
        <v>785</v>
      </c>
      <c r="D30" s="12"/>
      <c r="E30" s="13">
        <v>-196.5</v>
      </c>
    </row>
    <row r="31" spans="1:5" x14ac:dyDescent="0.25">
      <c r="A31" s="11">
        <v>44500</v>
      </c>
      <c r="B31" s="12" t="s">
        <v>786</v>
      </c>
      <c r="C31" s="12" t="s">
        <v>787</v>
      </c>
      <c r="D31" s="12"/>
      <c r="E31" s="13">
        <v>-564</v>
      </c>
    </row>
    <row r="32" spans="1:5" x14ac:dyDescent="0.25">
      <c r="A32" s="11">
        <v>44500</v>
      </c>
      <c r="B32" s="12" t="s">
        <v>788</v>
      </c>
      <c r="C32" s="12" t="s">
        <v>789</v>
      </c>
      <c r="D32" s="12"/>
      <c r="E32" s="13">
        <v>-75</v>
      </c>
    </row>
    <row r="33" spans="1:5" x14ac:dyDescent="0.25">
      <c r="A33" s="11">
        <v>44500</v>
      </c>
      <c r="B33" s="12" t="s">
        <v>790</v>
      </c>
      <c r="C33" s="12" t="s">
        <v>791</v>
      </c>
      <c r="D33" s="12"/>
      <c r="E33" s="13">
        <v>-18</v>
      </c>
    </row>
    <row r="34" spans="1:5" x14ac:dyDescent="0.25">
      <c r="A34" s="11">
        <v>44500</v>
      </c>
      <c r="B34" s="12" t="s">
        <v>792</v>
      </c>
      <c r="C34" s="12" t="s">
        <v>793</v>
      </c>
      <c r="D34" s="12"/>
      <c r="E34" s="13">
        <v>-340.5</v>
      </c>
    </row>
    <row r="35" spans="1:5" x14ac:dyDescent="0.25">
      <c r="A35" s="11">
        <v>44500</v>
      </c>
      <c r="B35" s="12" t="s">
        <v>794</v>
      </c>
      <c r="C35" s="12" t="s">
        <v>795</v>
      </c>
      <c r="D35" s="12"/>
      <c r="E35" s="13">
        <v>-72</v>
      </c>
    </row>
    <row r="36" spans="1:5" x14ac:dyDescent="0.25">
      <c r="A36" s="11">
        <v>44500</v>
      </c>
      <c r="B36" s="12" t="s">
        <v>796</v>
      </c>
      <c r="C36" s="12" t="s">
        <v>797</v>
      </c>
      <c r="D36" s="12"/>
      <c r="E36" s="13">
        <v>-283.5</v>
      </c>
    </row>
    <row r="37" spans="1:5" x14ac:dyDescent="0.25">
      <c r="A37" s="11">
        <v>44530</v>
      </c>
      <c r="B37" s="12" t="s">
        <v>798</v>
      </c>
      <c r="C37" s="12" t="s">
        <v>797</v>
      </c>
      <c r="D37" s="12"/>
      <c r="E37" s="13">
        <v>-814.5</v>
      </c>
    </row>
    <row r="38" spans="1:5" x14ac:dyDescent="0.25">
      <c r="A38" s="11">
        <v>44530</v>
      </c>
      <c r="B38" s="12" t="s">
        <v>799</v>
      </c>
      <c r="C38" s="12" t="s">
        <v>800</v>
      </c>
      <c r="D38" s="12"/>
      <c r="E38" s="13">
        <v>-232.5</v>
      </c>
    </row>
    <row r="39" spans="1:5" x14ac:dyDescent="0.25">
      <c r="A39" s="11">
        <v>44561</v>
      </c>
      <c r="B39" s="12" t="s">
        <v>801</v>
      </c>
      <c r="C39" s="12" t="s">
        <v>802</v>
      </c>
      <c r="D39" s="12"/>
      <c r="E39" s="13">
        <v>-663</v>
      </c>
    </row>
    <row r="40" spans="1:5" x14ac:dyDescent="0.25">
      <c r="A40" s="11">
        <v>44561</v>
      </c>
      <c r="B40" s="12" t="s">
        <v>803</v>
      </c>
      <c r="C40" s="12" t="s">
        <v>804</v>
      </c>
      <c r="D40" s="12"/>
      <c r="E40" s="13">
        <v>-499.5</v>
      </c>
    </row>
    <row r="41" spans="1:5" x14ac:dyDescent="0.25">
      <c r="A41" s="11">
        <v>44561</v>
      </c>
      <c r="B41" s="12" t="s">
        <v>805</v>
      </c>
      <c r="C41" s="12" t="s">
        <v>804</v>
      </c>
      <c r="D41" s="12"/>
      <c r="E41" s="13">
        <v>-124.5</v>
      </c>
    </row>
    <row r="42" spans="1:5" x14ac:dyDescent="0.25">
      <c r="A42" s="11">
        <v>44561</v>
      </c>
      <c r="B42" s="12" t="s">
        <v>806</v>
      </c>
      <c r="C42" s="12" t="s">
        <v>804</v>
      </c>
      <c r="D42" s="12"/>
      <c r="E42" s="13">
        <v>-262.5</v>
      </c>
    </row>
    <row r="43" spans="1:5" x14ac:dyDescent="0.25">
      <c r="A43" s="11">
        <v>44561</v>
      </c>
      <c r="B43" s="12" t="s">
        <v>807</v>
      </c>
      <c r="C43" s="12" t="s">
        <v>804</v>
      </c>
      <c r="D43" s="12"/>
      <c r="E43" s="13">
        <v>-124.5</v>
      </c>
    </row>
    <row r="44" spans="1:5" x14ac:dyDescent="0.25">
      <c r="A44" s="11">
        <v>44561</v>
      </c>
      <c r="B44" s="12" t="s">
        <v>808</v>
      </c>
      <c r="C44" s="12" t="s">
        <v>804</v>
      </c>
      <c r="D44" s="12"/>
      <c r="E44" s="13">
        <v>-124.5</v>
      </c>
    </row>
    <row r="45" spans="1:5" x14ac:dyDescent="0.25">
      <c r="A45" s="11">
        <v>44561</v>
      </c>
      <c r="B45" s="12" t="s">
        <v>809</v>
      </c>
      <c r="C45" s="12" t="s">
        <v>810</v>
      </c>
      <c r="D45" s="12"/>
      <c r="E45" s="13">
        <v>-285</v>
      </c>
    </row>
    <row r="46" spans="1:5" x14ac:dyDescent="0.25">
      <c r="A46" s="11">
        <v>44561</v>
      </c>
      <c r="B46" s="12" t="s">
        <v>811</v>
      </c>
      <c r="C46" s="12" t="s">
        <v>810</v>
      </c>
      <c r="D46" s="12"/>
      <c r="E46" s="13">
        <v>-88.5</v>
      </c>
    </row>
    <row r="47" spans="1:5" x14ac:dyDescent="0.25">
      <c r="A47" s="11">
        <v>44561</v>
      </c>
      <c r="B47" s="12" t="s">
        <v>812</v>
      </c>
      <c r="C47" s="12" t="s">
        <v>813</v>
      </c>
      <c r="D47" s="12"/>
      <c r="E47" s="13">
        <v>-462</v>
      </c>
    </row>
    <row r="48" spans="1:5" x14ac:dyDescent="0.25">
      <c r="A48" s="11">
        <v>44561</v>
      </c>
      <c r="B48" s="12" t="s">
        <v>814</v>
      </c>
      <c r="C48" s="12" t="s">
        <v>813</v>
      </c>
      <c r="D48" s="12"/>
      <c r="E48" s="13">
        <v>-480</v>
      </c>
    </row>
    <row r="49" spans="1:5" x14ac:dyDescent="0.25">
      <c r="A49" s="11">
        <v>44561</v>
      </c>
      <c r="B49" s="12" t="s">
        <v>815</v>
      </c>
      <c r="C49" s="12" t="s">
        <v>813</v>
      </c>
      <c r="D49" s="12"/>
      <c r="E49" s="13">
        <v>-285</v>
      </c>
    </row>
    <row r="50" spans="1:5" x14ac:dyDescent="0.25">
      <c r="A50" s="11">
        <v>44561</v>
      </c>
      <c r="B50" s="12" t="s">
        <v>816</v>
      </c>
      <c r="C50" s="12" t="s">
        <v>817</v>
      </c>
      <c r="D50" s="12"/>
      <c r="E50" s="13">
        <v>-64.5</v>
      </c>
    </row>
    <row r="51" spans="1:5" x14ac:dyDescent="0.25">
      <c r="A51" s="11">
        <v>44561</v>
      </c>
      <c r="B51" s="12" t="s">
        <v>818</v>
      </c>
      <c r="C51" s="12" t="s">
        <v>813</v>
      </c>
      <c r="D51" s="12"/>
      <c r="E51" s="13">
        <v>-249</v>
      </c>
    </row>
    <row r="52" spans="1:5" x14ac:dyDescent="0.25">
      <c r="A52" s="11">
        <v>44592</v>
      </c>
      <c r="B52" s="12" t="s">
        <v>819</v>
      </c>
      <c r="C52" s="12" t="s">
        <v>817</v>
      </c>
      <c r="D52" s="12"/>
      <c r="E52" s="13">
        <v>-72</v>
      </c>
    </row>
    <row r="53" spans="1:5" x14ac:dyDescent="0.25">
      <c r="A53" s="11">
        <v>44592</v>
      </c>
      <c r="B53" s="12" t="s">
        <v>820</v>
      </c>
      <c r="C53" s="12" t="s">
        <v>821</v>
      </c>
      <c r="D53" s="12"/>
      <c r="E53" s="13">
        <v>-150</v>
      </c>
    </row>
    <row r="54" spans="1:5" x14ac:dyDescent="0.25">
      <c r="A54" s="11">
        <v>44592</v>
      </c>
      <c r="B54" s="12" t="s">
        <v>822</v>
      </c>
      <c r="C54" s="12" t="s">
        <v>823</v>
      </c>
      <c r="D54" s="12"/>
      <c r="E54" s="13">
        <v>-414</v>
      </c>
    </row>
    <row r="55" spans="1:5" x14ac:dyDescent="0.25">
      <c r="A55" s="11">
        <v>44592</v>
      </c>
      <c r="B55" s="12" t="s">
        <v>824</v>
      </c>
      <c r="C55" s="12" t="s">
        <v>789</v>
      </c>
      <c r="D55" s="12"/>
      <c r="E55" s="13">
        <v>-510</v>
      </c>
    </row>
    <row r="56" spans="1:5" x14ac:dyDescent="0.25">
      <c r="A56" s="11">
        <v>44592</v>
      </c>
      <c r="B56" s="12" t="s">
        <v>825</v>
      </c>
      <c r="C56" s="12" t="s">
        <v>826</v>
      </c>
      <c r="D56" s="12"/>
      <c r="E56" s="13">
        <v>-258</v>
      </c>
    </row>
    <row r="57" spans="1:5" x14ac:dyDescent="0.25">
      <c r="A57" s="11">
        <v>44620</v>
      </c>
      <c r="B57" s="12" t="s">
        <v>827</v>
      </c>
      <c r="C57" s="12" t="s">
        <v>828</v>
      </c>
      <c r="D57" s="12"/>
      <c r="E57" s="13">
        <v>-391.5</v>
      </c>
    </row>
    <row r="58" spans="1:5" x14ac:dyDescent="0.25">
      <c r="A58" s="11">
        <v>44620</v>
      </c>
      <c r="B58" s="12" t="s">
        <v>829</v>
      </c>
      <c r="C58" s="12" t="s">
        <v>828</v>
      </c>
      <c r="D58" s="12"/>
      <c r="E58" s="13">
        <v>-354</v>
      </c>
    </row>
    <row r="59" spans="1:5" x14ac:dyDescent="0.25">
      <c r="A59" s="11">
        <v>44620</v>
      </c>
      <c r="B59" s="12" t="s">
        <v>830</v>
      </c>
      <c r="C59" s="12" t="s">
        <v>752</v>
      </c>
      <c r="D59" s="12"/>
      <c r="E59" s="13">
        <v>-322.5</v>
      </c>
    </row>
    <row r="60" spans="1:5" x14ac:dyDescent="0.25">
      <c r="A60" s="11">
        <v>44620</v>
      </c>
      <c r="B60" s="12" t="s">
        <v>831</v>
      </c>
      <c r="C60" s="12" t="s">
        <v>832</v>
      </c>
      <c r="D60" s="12"/>
      <c r="E60" s="13">
        <v>-296.5</v>
      </c>
    </row>
    <row r="61" spans="1:5" x14ac:dyDescent="0.25">
      <c r="A61" s="11">
        <v>44651</v>
      </c>
      <c r="B61" s="12" t="s">
        <v>833</v>
      </c>
      <c r="C61" s="12" t="s">
        <v>832</v>
      </c>
      <c r="D61" s="12"/>
      <c r="E61" s="13">
        <v>-477.5</v>
      </c>
    </row>
    <row r="62" spans="1:5" x14ac:dyDescent="0.25">
      <c r="A62" s="11">
        <v>44651</v>
      </c>
      <c r="B62" s="12" t="s">
        <v>834</v>
      </c>
      <c r="C62" s="12" t="s">
        <v>835</v>
      </c>
      <c r="D62" s="12"/>
      <c r="E62" s="13">
        <v>-222</v>
      </c>
    </row>
    <row r="63" spans="1:5" x14ac:dyDescent="0.25">
      <c r="A63" s="11">
        <v>44681</v>
      </c>
      <c r="B63" s="12" t="s">
        <v>836</v>
      </c>
      <c r="C63" s="12" t="s">
        <v>837</v>
      </c>
      <c r="D63" s="12"/>
      <c r="E63" s="13">
        <v>-344</v>
      </c>
    </row>
    <row r="64" spans="1:5" x14ac:dyDescent="0.25">
      <c r="A64" s="11">
        <v>44681</v>
      </c>
      <c r="B64" s="12" t="s">
        <v>838</v>
      </c>
      <c r="C64" s="12" t="s">
        <v>839</v>
      </c>
      <c r="D64" s="12"/>
      <c r="E64" s="13">
        <v>-321</v>
      </c>
    </row>
    <row r="65" spans="1:5" x14ac:dyDescent="0.25">
      <c r="A65" s="11">
        <v>44681</v>
      </c>
      <c r="B65" s="12" t="s">
        <v>840</v>
      </c>
      <c r="C65" s="12" t="s">
        <v>841</v>
      </c>
      <c r="D65" s="12"/>
      <c r="E65" s="13">
        <v>-344</v>
      </c>
    </row>
    <row r="66" spans="1:5" x14ac:dyDescent="0.25">
      <c r="A66" s="11">
        <v>44681</v>
      </c>
      <c r="B66" s="12" t="s">
        <v>842</v>
      </c>
      <c r="C66" s="12" t="s">
        <v>843</v>
      </c>
      <c r="D66" s="12"/>
      <c r="E66" s="13">
        <v>-245</v>
      </c>
    </row>
    <row r="67" spans="1:5" x14ac:dyDescent="0.25">
      <c r="A67" s="11">
        <v>44681</v>
      </c>
      <c r="B67" s="12" t="s">
        <v>844</v>
      </c>
      <c r="C67" s="12" t="s">
        <v>845</v>
      </c>
      <c r="D67" s="12"/>
      <c r="E67" s="13">
        <v>-544</v>
      </c>
    </row>
    <row r="68" spans="1:5" x14ac:dyDescent="0.25">
      <c r="A68" s="11">
        <v>44681</v>
      </c>
      <c r="B68" s="12" t="s">
        <v>846</v>
      </c>
      <c r="C68" s="12" t="s">
        <v>847</v>
      </c>
      <c r="D68" s="12"/>
      <c r="E68" s="13">
        <v>-59</v>
      </c>
    </row>
    <row r="69" spans="1:5" x14ac:dyDescent="0.25">
      <c r="A69" s="11">
        <v>44681</v>
      </c>
      <c r="B69" s="12" t="s">
        <v>848</v>
      </c>
      <c r="C69" s="12" t="s">
        <v>849</v>
      </c>
      <c r="D69" s="12"/>
      <c r="E69" s="13">
        <v>-59</v>
      </c>
    </row>
    <row r="70" spans="1:5" x14ac:dyDescent="0.25">
      <c r="A70" s="11">
        <v>44681</v>
      </c>
      <c r="B70" s="12" t="s">
        <v>850</v>
      </c>
      <c r="C70" s="12" t="s">
        <v>851</v>
      </c>
      <c r="D70" s="12"/>
      <c r="E70" s="13">
        <v>-729</v>
      </c>
    </row>
    <row r="71" spans="1:5" x14ac:dyDescent="0.25">
      <c r="A71" s="11">
        <v>44681</v>
      </c>
      <c r="B71" s="12" t="s">
        <v>852</v>
      </c>
      <c r="C71" s="12" t="s">
        <v>853</v>
      </c>
      <c r="D71" s="12"/>
      <c r="E71" s="13">
        <v>-774.5</v>
      </c>
    </row>
    <row r="72" spans="1:5" x14ac:dyDescent="0.25">
      <c r="A72" s="11">
        <v>44681</v>
      </c>
      <c r="B72" s="12" t="s">
        <v>854</v>
      </c>
      <c r="C72" s="12" t="s">
        <v>855</v>
      </c>
      <c r="D72" s="12"/>
      <c r="E72" s="13">
        <v>-539</v>
      </c>
    </row>
    <row r="73" spans="1:5" x14ac:dyDescent="0.25">
      <c r="A73" s="11">
        <v>44712</v>
      </c>
      <c r="B73" s="12" t="s">
        <v>856</v>
      </c>
      <c r="C73" s="12" t="s">
        <v>857</v>
      </c>
      <c r="D73" s="12"/>
      <c r="E73" s="13">
        <v>-664.5</v>
      </c>
    </row>
    <row r="74" spans="1:5" x14ac:dyDescent="0.25">
      <c r="A74" s="11">
        <v>44712</v>
      </c>
      <c r="B74" s="12" t="s">
        <v>858</v>
      </c>
      <c r="C74" s="12" t="s">
        <v>859</v>
      </c>
      <c r="D74" s="12"/>
      <c r="E74" s="13">
        <v>-6</v>
      </c>
    </row>
    <row r="75" spans="1:5" x14ac:dyDescent="0.25">
      <c r="A75" s="11">
        <v>44712</v>
      </c>
      <c r="B75" s="12" t="s">
        <v>860</v>
      </c>
      <c r="C75" s="12" t="s">
        <v>859</v>
      </c>
      <c r="D75" s="12"/>
      <c r="E75" s="13">
        <v>-987</v>
      </c>
    </row>
    <row r="76" spans="1:5" x14ac:dyDescent="0.25">
      <c r="A76" s="11">
        <v>44742</v>
      </c>
      <c r="B76" s="12" t="s">
        <v>861</v>
      </c>
      <c r="C76" s="12" t="s">
        <v>752</v>
      </c>
      <c r="D76" s="12"/>
      <c r="E76" s="13">
        <v>-180</v>
      </c>
    </row>
    <row r="77" spans="1:5" x14ac:dyDescent="0.25">
      <c r="A77" s="11">
        <v>44742</v>
      </c>
      <c r="B77" s="12" t="s">
        <v>862</v>
      </c>
      <c r="C77" s="12" t="s">
        <v>863</v>
      </c>
      <c r="D77" s="12"/>
      <c r="E77" s="13">
        <v>-550.5</v>
      </c>
    </row>
    <row r="78" spans="1:5" x14ac:dyDescent="0.25">
      <c r="A78" s="11">
        <v>44773</v>
      </c>
      <c r="B78" s="12" t="s">
        <v>864</v>
      </c>
      <c r="C78" s="12" t="s">
        <v>865</v>
      </c>
      <c r="D78" s="12"/>
      <c r="E78" s="13">
        <v>-465</v>
      </c>
    </row>
    <row r="79" spans="1:5" x14ac:dyDescent="0.25">
      <c r="A79" s="11">
        <v>44773</v>
      </c>
      <c r="B79" s="12" t="s">
        <v>866</v>
      </c>
      <c r="C79" s="12" t="s">
        <v>867</v>
      </c>
      <c r="D79" s="12"/>
      <c r="E79" s="13">
        <v>-50</v>
      </c>
    </row>
    <row r="80" spans="1:5" x14ac:dyDescent="0.25">
      <c r="A80" s="11">
        <v>44773</v>
      </c>
      <c r="B80" s="12" t="s">
        <v>868</v>
      </c>
      <c r="C80" s="12" t="s">
        <v>867</v>
      </c>
      <c r="D80" s="12"/>
      <c r="E80" s="13">
        <v>-35</v>
      </c>
    </row>
    <row r="81" spans="1:5" x14ac:dyDescent="0.25">
      <c r="A81" s="11">
        <v>44773</v>
      </c>
      <c r="B81" s="12" t="s">
        <v>869</v>
      </c>
      <c r="C81" s="12" t="s">
        <v>870</v>
      </c>
      <c r="D81" s="12"/>
      <c r="E81" s="13">
        <v>-72</v>
      </c>
    </row>
    <row r="82" spans="1:5" x14ac:dyDescent="0.25">
      <c r="A82" s="11">
        <v>44773</v>
      </c>
      <c r="B82" s="12" t="s">
        <v>871</v>
      </c>
      <c r="C82" s="12" t="s">
        <v>872</v>
      </c>
      <c r="D82" s="12"/>
      <c r="E82" s="13">
        <v>-72</v>
      </c>
    </row>
    <row r="83" spans="1:5" x14ac:dyDescent="0.25">
      <c r="A83" s="11">
        <v>44773</v>
      </c>
      <c r="B83" s="12" t="s">
        <v>873</v>
      </c>
      <c r="C83" s="12" t="s">
        <v>874</v>
      </c>
      <c r="D83" s="12"/>
      <c r="E83" s="13">
        <v>-110</v>
      </c>
    </row>
    <row r="84" spans="1:5" x14ac:dyDescent="0.25">
      <c r="A84" s="11">
        <v>44773</v>
      </c>
      <c r="B84" s="12" t="s">
        <v>875</v>
      </c>
      <c r="C84" s="12" t="s">
        <v>874</v>
      </c>
      <c r="D84" s="12"/>
      <c r="E84" s="13">
        <v>-150</v>
      </c>
    </row>
    <row r="85" spans="1:5" x14ac:dyDescent="0.25">
      <c r="A85" s="11">
        <v>44773</v>
      </c>
      <c r="B85" s="12" t="s">
        <v>876</v>
      </c>
      <c r="C85" s="12" t="s">
        <v>874</v>
      </c>
      <c r="D85" s="12"/>
      <c r="E85" s="13">
        <v>-60</v>
      </c>
    </row>
    <row r="86" spans="1:5" x14ac:dyDescent="0.25">
      <c r="A86" s="11">
        <v>44773</v>
      </c>
      <c r="B86" s="12" t="s">
        <v>877</v>
      </c>
      <c r="C86" s="12" t="s">
        <v>874</v>
      </c>
      <c r="D86" s="12"/>
      <c r="E86" s="13">
        <v>-90</v>
      </c>
    </row>
    <row r="87" spans="1:5" x14ac:dyDescent="0.25">
      <c r="A87" s="11">
        <v>44773</v>
      </c>
      <c r="B87" s="12" t="s">
        <v>878</v>
      </c>
      <c r="C87" s="12" t="s">
        <v>874</v>
      </c>
      <c r="D87" s="12"/>
      <c r="E87" s="13">
        <v>-60</v>
      </c>
    </row>
    <row r="88" spans="1:5" x14ac:dyDescent="0.25">
      <c r="A88" s="11">
        <v>44773</v>
      </c>
      <c r="B88" s="12" t="s">
        <v>879</v>
      </c>
      <c r="C88" s="12" t="s">
        <v>874</v>
      </c>
      <c r="D88" s="12"/>
      <c r="E88" s="13">
        <v>-150</v>
      </c>
    </row>
    <row r="89" spans="1:5" x14ac:dyDescent="0.25">
      <c r="A89" s="11">
        <v>44773</v>
      </c>
      <c r="B89" s="12" t="s">
        <v>880</v>
      </c>
      <c r="C89" s="12" t="s">
        <v>874</v>
      </c>
      <c r="D89" s="12"/>
      <c r="E89" s="13">
        <v>-60</v>
      </c>
    </row>
    <row r="90" spans="1:5" x14ac:dyDescent="0.25">
      <c r="A90" s="11">
        <v>44773</v>
      </c>
      <c r="B90" s="12" t="s">
        <v>881</v>
      </c>
      <c r="C90" s="12" t="s">
        <v>874</v>
      </c>
      <c r="D90" s="12"/>
      <c r="E90" s="13">
        <v>-70</v>
      </c>
    </row>
    <row r="91" spans="1:5" x14ac:dyDescent="0.25">
      <c r="A91" s="11">
        <v>44773</v>
      </c>
      <c r="B91" s="12" t="s">
        <v>882</v>
      </c>
      <c r="C91" s="12" t="s">
        <v>874</v>
      </c>
      <c r="D91" s="12"/>
      <c r="E91" s="13">
        <v>-60</v>
      </c>
    </row>
    <row r="92" spans="1:5" x14ac:dyDescent="0.25">
      <c r="A92" s="11">
        <v>44773</v>
      </c>
      <c r="B92" s="12" t="s">
        <v>883</v>
      </c>
      <c r="C92" s="12" t="s">
        <v>874</v>
      </c>
      <c r="D92" s="12"/>
      <c r="E92" s="13">
        <v>-150</v>
      </c>
    </row>
    <row r="93" spans="1:5" x14ac:dyDescent="0.25">
      <c r="A93" s="11">
        <v>44773</v>
      </c>
      <c r="B93" s="12" t="s">
        <v>884</v>
      </c>
      <c r="C93" s="12" t="s">
        <v>874</v>
      </c>
      <c r="D93" s="12"/>
      <c r="E93" s="13">
        <v>-60</v>
      </c>
    </row>
    <row r="94" spans="1:5" x14ac:dyDescent="0.25">
      <c r="A94" s="11">
        <v>44773</v>
      </c>
      <c r="B94" s="12" t="s">
        <v>885</v>
      </c>
      <c r="C94" s="12" t="s">
        <v>874</v>
      </c>
      <c r="D94" s="12"/>
      <c r="E94" s="13">
        <v>-60</v>
      </c>
    </row>
    <row r="95" spans="1:5" x14ac:dyDescent="0.25">
      <c r="A95" s="11">
        <v>44773</v>
      </c>
      <c r="B95" s="12" t="s">
        <v>886</v>
      </c>
      <c r="C95" s="12" t="s">
        <v>874</v>
      </c>
      <c r="D95" s="12"/>
      <c r="E95" s="13">
        <v>-70</v>
      </c>
    </row>
    <row r="96" spans="1:5" x14ac:dyDescent="0.25">
      <c r="A96" s="11">
        <v>44773</v>
      </c>
      <c r="B96" s="12" t="s">
        <v>887</v>
      </c>
      <c r="C96" s="12" t="s">
        <v>874</v>
      </c>
      <c r="D96" s="12"/>
      <c r="E96" s="13">
        <v>-60</v>
      </c>
    </row>
    <row r="97" spans="1:5" x14ac:dyDescent="0.25">
      <c r="A97" s="11">
        <v>44773</v>
      </c>
      <c r="B97" s="12" t="s">
        <v>888</v>
      </c>
      <c r="C97" s="12" t="s">
        <v>874</v>
      </c>
      <c r="D97" s="12"/>
      <c r="E97" s="13">
        <v>-150</v>
      </c>
    </row>
    <row r="98" spans="1:5" x14ac:dyDescent="0.25">
      <c r="A98" s="11">
        <v>44773</v>
      </c>
      <c r="B98" s="12" t="s">
        <v>889</v>
      </c>
      <c r="C98" s="12" t="s">
        <v>874</v>
      </c>
      <c r="D98" s="12"/>
      <c r="E98" s="13">
        <v>-60</v>
      </c>
    </row>
    <row r="99" spans="1:5" x14ac:dyDescent="0.25">
      <c r="A99" s="11">
        <v>44773</v>
      </c>
      <c r="B99" s="12" t="s">
        <v>890</v>
      </c>
      <c r="C99" s="12" t="s">
        <v>874</v>
      </c>
      <c r="D99" s="12"/>
      <c r="E99" s="13">
        <v>-80</v>
      </c>
    </row>
    <row r="100" spans="1:5" x14ac:dyDescent="0.25">
      <c r="A100" s="11">
        <v>44773</v>
      </c>
      <c r="B100" s="12" t="s">
        <v>891</v>
      </c>
      <c r="C100" s="12" t="s">
        <v>874</v>
      </c>
      <c r="D100" s="12"/>
      <c r="E100" s="13">
        <v>-60</v>
      </c>
    </row>
    <row r="101" spans="1:5" x14ac:dyDescent="0.25">
      <c r="A101" s="11">
        <v>44773</v>
      </c>
      <c r="B101" s="12" t="s">
        <v>892</v>
      </c>
      <c r="C101" s="12" t="s">
        <v>874</v>
      </c>
      <c r="D101" s="12"/>
      <c r="E101" s="13">
        <v>-80</v>
      </c>
    </row>
    <row r="102" spans="1:5" x14ac:dyDescent="0.25">
      <c r="A102" s="11">
        <v>44773</v>
      </c>
      <c r="B102" s="12" t="s">
        <v>893</v>
      </c>
      <c r="C102" s="12" t="s">
        <v>874</v>
      </c>
      <c r="D102" s="12"/>
      <c r="E102" s="13">
        <v>-60</v>
      </c>
    </row>
    <row r="103" spans="1:5" x14ac:dyDescent="0.25">
      <c r="A103" s="11">
        <v>44773</v>
      </c>
      <c r="B103" s="12" t="s">
        <v>894</v>
      </c>
      <c r="C103" s="12" t="s">
        <v>874</v>
      </c>
      <c r="D103" s="12"/>
      <c r="E103" s="13">
        <v>-150</v>
      </c>
    </row>
    <row r="104" spans="1:5" x14ac:dyDescent="0.25">
      <c r="A104" s="11">
        <v>44773</v>
      </c>
      <c r="B104" s="12" t="s">
        <v>895</v>
      </c>
      <c r="C104" s="12" t="s">
        <v>874</v>
      </c>
      <c r="D104" s="12"/>
      <c r="E104" s="13">
        <v>-60</v>
      </c>
    </row>
    <row r="105" spans="1:5" x14ac:dyDescent="0.25">
      <c r="A105" s="11">
        <v>44773</v>
      </c>
      <c r="B105" s="12" t="s">
        <v>896</v>
      </c>
      <c r="C105" s="12" t="s">
        <v>874</v>
      </c>
      <c r="D105" s="12"/>
      <c r="E105" s="13">
        <v>-40</v>
      </c>
    </row>
    <row r="106" spans="1:5" x14ac:dyDescent="0.25">
      <c r="A106" s="11">
        <v>44773</v>
      </c>
      <c r="B106" s="12" t="s">
        <v>897</v>
      </c>
      <c r="C106" s="12" t="s">
        <v>874</v>
      </c>
      <c r="D106" s="12"/>
      <c r="E106" s="13">
        <v>-60</v>
      </c>
    </row>
    <row r="107" spans="1:5" x14ac:dyDescent="0.25">
      <c r="A107" s="11">
        <v>44773</v>
      </c>
      <c r="B107" s="12" t="s">
        <v>898</v>
      </c>
      <c r="C107" s="12" t="s">
        <v>874</v>
      </c>
      <c r="D107" s="12"/>
      <c r="E107" s="13">
        <v>-150</v>
      </c>
    </row>
    <row r="108" spans="1:5" x14ac:dyDescent="0.25">
      <c r="A108" s="11">
        <v>44773</v>
      </c>
      <c r="B108" s="12" t="s">
        <v>899</v>
      </c>
      <c r="C108" s="12" t="s">
        <v>874</v>
      </c>
      <c r="D108" s="12"/>
      <c r="E108" s="13">
        <v>-90</v>
      </c>
    </row>
    <row r="109" spans="1:5" x14ac:dyDescent="0.25">
      <c r="A109" s="11">
        <v>44773</v>
      </c>
      <c r="B109" s="12" t="s">
        <v>900</v>
      </c>
      <c r="C109" s="12" t="s">
        <v>752</v>
      </c>
      <c r="D109" s="12"/>
      <c r="E109" s="13">
        <v>-270</v>
      </c>
    </row>
    <row r="110" spans="1:5" x14ac:dyDescent="0.25">
      <c r="A110" s="11">
        <v>44773</v>
      </c>
      <c r="B110" s="12" t="s">
        <v>901</v>
      </c>
      <c r="C110" s="12" t="s">
        <v>752</v>
      </c>
      <c r="D110" s="12"/>
      <c r="E110" s="13">
        <v>-1698.5</v>
      </c>
    </row>
    <row r="111" spans="1:5" x14ac:dyDescent="0.25">
      <c r="A111" s="11">
        <v>44773</v>
      </c>
      <c r="B111" s="12" t="s">
        <v>902</v>
      </c>
      <c r="C111" s="12" t="s">
        <v>903</v>
      </c>
      <c r="D111" s="12"/>
      <c r="E111" s="13">
        <v>-250.5</v>
      </c>
    </row>
    <row r="112" spans="1:5" x14ac:dyDescent="0.25">
      <c r="A112" s="11">
        <v>44773</v>
      </c>
      <c r="B112" s="12" t="s">
        <v>904</v>
      </c>
      <c r="C112" s="12" t="s">
        <v>752</v>
      </c>
      <c r="D112" s="12"/>
      <c r="E112" s="13">
        <v>-516</v>
      </c>
    </row>
    <row r="113" spans="1:5" x14ac:dyDescent="0.25">
      <c r="A113" s="11">
        <v>44804</v>
      </c>
      <c r="B113" s="12" t="s">
        <v>905</v>
      </c>
      <c r="C113" s="12" t="s">
        <v>906</v>
      </c>
      <c r="D113" s="12"/>
      <c r="E113" s="13">
        <v>-40</v>
      </c>
    </row>
    <row r="114" spans="1:5" x14ac:dyDescent="0.25">
      <c r="A114" s="11">
        <v>44804</v>
      </c>
      <c r="B114" s="12" t="s">
        <v>907</v>
      </c>
      <c r="C114" s="12" t="s">
        <v>906</v>
      </c>
      <c r="D114" s="12"/>
      <c r="E114" s="13">
        <v>-30</v>
      </c>
    </row>
    <row r="115" spans="1:5" x14ac:dyDescent="0.25">
      <c r="A115" s="11">
        <v>44834</v>
      </c>
      <c r="B115" s="12" t="s">
        <v>908</v>
      </c>
      <c r="C115" s="12" t="s">
        <v>909</v>
      </c>
      <c r="D115" s="12"/>
      <c r="E115" s="13">
        <v>-622.5</v>
      </c>
    </row>
    <row r="116" spans="1:5" x14ac:dyDescent="0.25">
      <c r="A116" s="11">
        <v>44834</v>
      </c>
      <c r="B116" s="12" t="s">
        <v>910</v>
      </c>
      <c r="C116" s="12" t="s">
        <v>911</v>
      </c>
      <c r="D116" s="12"/>
      <c r="E116" s="13">
        <v>-36</v>
      </c>
    </row>
    <row r="117" spans="1:5" x14ac:dyDescent="0.25">
      <c r="A117" s="11">
        <v>44834</v>
      </c>
      <c r="B117" s="12" t="s">
        <v>912</v>
      </c>
      <c r="C117" s="12" t="s">
        <v>913</v>
      </c>
      <c r="D117" s="12"/>
      <c r="E117" s="13">
        <v>-714</v>
      </c>
    </row>
    <row r="118" spans="1:5" x14ac:dyDescent="0.25">
      <c r="A118" s="11">
        <v>44834</v>
      </c>
      <c r="B118" s="12" t="s">
        <v>914</v>
      </c>
      <c r="C118" s="12" t="s">
        <v>915</v>
      </c>
      <c r="D118" s="12"/>
      <c r="E118" s="13">
        <v>-673.5</v>
      </c>
    </row>
    <row r="119" spans="1:5" x14ac:dyDescent="0.25">
      <c r="A119" s="11">
        <v>44865</v>
      </c>
      <c r="B119" s="12" t="s">
        <v>916</v>
      </c>
      <c r="C119" s="12" t="s">
        <v>917</v>
      </c>
      <c r="D119" s="12"/>
      <c r="E119" s="13">
        <v>-445.5</v>
      </c>
    </row>
    <row r="120" spans="1:5" x14ac:dyDescent="0.25">
      <c r="A120" s="11">
        <v>44865</v>
      </c>
      <c r="B120" s="12" t="s">
        <v>918</v>
      </c>
      <c r="C120" s="12" t="s">
        <v>919</v>
      </c>
      <c r="D120" s="12"/>
      <c r="E120" s="13">
        <v>-252</v>
      </c>
    </row>
    <row r="121" spans="1:5" x14ac:dyDescent="0.25">
      <c r="A121" s="11">
        <v>44865</v>
      </c>
      <c r="B121" s="12" t="s">
        <v>920</v>
      </c>
      <c r="C121" s="12" t="s">
        <v>919</v>
      </c>
      <c r="D121" s="12"/>
      <c r="E121" s="13">
        <v>-463.5</v>
      </c>
    </row>
    <row r="122" spans="1:5" x14ac:dyDescent="0.25">
      <c r="A122" s="11">
        <v>44865</v>
      </c>
      <c r="B122" s="12" t="s">
        <v>921</v>
      </c>
      <c r="C122" s="12" t="s">
        <v>919</v>
      </c>
      <c r="D122" s="12"/>
      <c r="E122" s="13">
        <v>-570</v>
      </c>
    </row>
    <row r="123" spans="1:5" x14ac:dyDescent="0.25">
      <c r="A123" s="11">
        <v>44865</v>
      </c>
      <c r="B123" s="12" t="s">
        <v>922</v>
      </c>
      <c r="C123" s="12" t="s">
        <v>923</v>
      </c>
      <c r="D123" s="12"/>
      <c r="E123" s="13">
        <v>-339</v>
      </c>
    </row>
    <row r="124" spans="1:5" x14ac:dyDescent="0.25">
      <c r="A124" s="11">
        <v>44865</v>
      </c>
      <c r="B124" s="12" t="s">
        <v>924</v>
      </c>
      <c r="C124" s="12" t="s">
        <v>923</v>
      </c>
      <c r="D124" s="12"/>
      <c r="E124" s="13">
        <v>-213</v>
      </c>
    </row>
    <row r="125" spans="1:5" x14ac:dyDescent="0.25">
      <c r="A125" s="11">
        <v>44865</v>
      </c>
      <c r="B125" s="12" t="s">
        <v>925</v>
      </c>
      <c r="C125" s="12" t="s">
        <v>919</v>
      </c>
      <c r="D125" s="12"/>
      <c r="E125" s="13">
        <v>-357</v>
      </c>
    </row>
    <row r="126" spans="1:5" x14ac:dyDescent="0.25">
      <c r="A126" s="11">
        <v>44865</v>
      </c>
      <c r="B126" s="12" t="s">
        <v>926</v>
      </c>
      <c r="C126" s="12" t="s">
        <v>923</v>
      </c>
      <c r="D126" s="12"/>
      <c r="E126" s="13">
        <v>-232.5</v>
      </c>
    </row>
    <row r="127" spans="1:5" x14ac:dyDescent="0.25">
      <c r="A127" s="11">
        <v>44865</v>
      </c>
      <c r="B127" s="12" t="s">
        <v>927</v>
      </c>
      <c r="C127" s="12" t="s">
        <v>752</v>
      </c>
      <c r="D127" s="12"/>
      <c r="E127" s="13">
        <v>-162</v>
      </c>
    </row>
    <row r="128" spans="1:5" x14ac:dyDescent="0.25">
      <c r="A128" s="11">
        <v>44865</v>
      </c>
      <c r="B128" s="12" t="s">
        <v>928</v>
      </c>
      <c r="C128" s="12" t="s">
        <v>752</v>
      </c>
      <c r="D128" s="12"/>
      <c r="E128" s="13">
        <v>-162</v>
      </c>
    </row>
    <row r="129" spans="1:5" x14ac:dyDescent="0.25">
      <c r="A129" s="11">
        <v>44865</v>
      </c>
      <c r="B129" s="12" t="s">
        <v>929</v>
      </c>
      <c r="C129" s="12" t="s">
        <v>752</v>
      </c>
      <c r="D129" s="12"/>
      <c r="E129" s="13">
        <v>-427.5</v>
      </c>
    </row>
    <row r="130" spans="1:5" x14ac:dyDescent="0.25">
      <c r="A130" s="11">
        <v>44865</v>
      </c>
      <c r="B130" s="12" t="s">
        <v>930</v>
      </c>
      <c r="C130" s="12" t="s">
        <v>752</v>
      </c>
      <c r="D130" s="12"/>
      <c r="E130" s="13">
        <v>-162</v>
      </c>
    </row>
    <row r="131" spans="1:5" x14ac:dyDescent="0.25">
      <c r="A131" s="11">
        <v>44865</v>
      </c>
      <c r="B131" s="12" t="s">
        <v>931</v>
      </c>
      <c r="C131" s="12" t="s">
        <v>752</v>
      </c>
      <c r="D131" s="12"/>
      <c r="E131" s="13">
        <v>-712.5</v>
      </c>
    </row>
    <row r="132" spans="1:5" x14ac:dyDescent="0.25">
      <c r="A132" s="11">
        <v>44895</v>
      </c>
      <c r="B132" s="12" t="s">
        <v>932</v>
      </c>
      <c r="C132" s="12" t="s">
        <v>933</v>
      </c>
      <c r="D132" s="12"/>
      <c r="E132" s="13">
        <v>-40</v>
      </c>
    </row>
    <row r="133" spans="1:5" x14ac:dyDescent="0.25">
      <c r="A133" s="11">
        <v>44895</v>
      </c>
      <c r="B133" s="12" t="s">
        <v>934</v>
      </c>
      <c r="C133" s="12" t="s">
        <v>933</v>
      </c>
      <c r="D133" s="12"/>
      <c r="E133" s="13">
        <v>-20</v>
      </c>
    </row>
    <row r="134" spans="1:5" x14ac:dyDescent="0.25">
      <c r="A134" s="11">
        <v>44895</v>
      </c>
      <c r="B134" s="12" t="s">
        <v>935</v>
      </c>
      <c r="C134" s="12" t="s">
        <v>936</v>
      </c>
      <c r="D134" s="12"/>
      <c r="E134" s="13">
        <v>-357</v>
      </c>
    </row>
    <row r="135" spans="1:5" x14ac:dyDescent="0.25">
      <c r="A135" s="11">
        <v>44895</v>
      </c>
      <c r="B135" s="12" t="s">
        <v>937</v>
      </c>
      <c r="C135" s="12" t="s">
        <v>752</v>
      </c>
      <c r="D135" s="12"/>
      <c r="E135" s="13">
        <v>-160.5</v>
      </c>
    </row>
    <row r="136" spans="1:5" x14ac:dyDescent="0.25">
      <c r="A136" s="11">
        <v>45076</v>
      </c>
      <c r="B136" s="12" t="s">
        <v>938</v>
      </c>
      <c r="C136" s="12" t="s">
        <v>939</v>
      </c>
      <c r="D136" s="12"/>
      <c r="E136" s="13">
        <v>-372</v>
      </c>
    </row>
    <row r="137" spans="1:5" x14ac:dyDescent="0.25">
      <c r="A137" s="11">
        <v>45076</v>
      </c>
      <c r="B137" s="12" t="s">
        <v>940</v>
      </c>
      <c r="C137" s="12" t="s">
        <v>939</v>
      </c>
      <c r="D137" s="12"/>
      <c r="E137" s="13">
        <v>-426</v>
      </c>
    </row>
    <row r="138" spans="1:5" x14ac:dyDescent="0.25">
      <c r="A138" s="11">
        <v>45076</v>
      </c>
      <c r="B138" s="12" t="s">
        <v>941</v>
      </c>
      <c r="C138" s="12" t="s">
        <v>939</v>
      </c>
      <c r="D138" s="12"/>
      <c r="E138" s="13">
        <v>-516</v>
      </c>
    </row>
    <row r="139" spans="1:5" x14ac:dyDescent="0.25">
      <c r="A139" s="11">
        <v>45076</v>
      </c>
      <c r="B139" s="12" t="s">
        <v>942</v>
      </c>
      <c r="C139" s="12" t="s">
        <v>943</v>
      </c>
      <c r="D139" s="12"/>
      <c r="E139" s="13">
        <v>-196.5</v>
      </c>
    </row>
    <row r="140" spans="1:5" x14ac:dyDescent="0.25">
      <c r="A140" s="11">
        <v>45076</v>
      </c>
      <c r="B140" s="12" t="s">
        <v>944</v>
      </c>
      <c r="C140" s="12" t="s">
        <v>943</v>
      </c>
      <c r="D140" s="12"/>
      <c r="E140" s="13">
        <v>-90</v>
      </c>
    </row>
    <row r="141" spans="1:5" x14ac:dyDescent="0.25">
      <c r="A141" s="11">
        <v>45076</v>
      </c>
      <c r="B141" s="12" t="s">
        <v>945</v>
      </c>
      <c r="C141" s="12" t="s">
        <v>946</v>
      </c>
      <c r="D141" s="12"/>
      <c r="E141" s="13">
        <v>-174</v>
      </c>
    </row>
    <row r="142" spans="1:5" x14ac:dyDescent="0.25">
      <c r="A142" s="11">
        <v>45076</v>
      </c>
      <c r="B142" s="12" t="s">
        <v>947</v>
      </c>
      <c r="C142" s="12" t="s">
        <v>946</v>
      </c>
      <c r="D142" s="12"/>
      <c r="E142" s="13">
        <v>-619.5</v>
      </c>
    </row>
    <row r="143" spans="1:5" x14ac:dyDescent="0.25">
      <c r="A143" s="11">
        <v>45107</v>
      </c>
      <c r="B143" s="12" t="s">
        <v>948</v>
      </c>
      <c r="C143" s="12" t="s">
        <v>949</v>
      </c>
      <c r="D143" s="12"/>
      <c r="E143" s="13">
        <v>-972</v>
      </c>
    </row>
    <row r="144" spans="1:5" x14ac:dyDescent="0.25">
      <c r="A144" s="11">
        <v>45107</v>
      </c>
      <c r="B144" s="12" t="s">
        <v>950</v>
      </c>
      <c r="C144" s="12" t="s">
        <v>951</v>
      </c>
      <c r="D144" s="12"/>
      <c r="E144" s="13">
        <v>-375</v>
      </c>
    </row>
    <row r="145" spans="1:5" x14ac:dyDescent="0.25">
      <c r="A145" s="11">
        <v>45107</v>
      </c>
      <c r="B145" s="12" t="s">
        <v>952</v>
      </c>
      <c r="C145" s="12" t="s">
        <v>951</v>
      </c>
      <c r="D145" s="12"/>
      <c r="E145" s="13">
        <v>-232.5</v>
      </c>
    </row>
    <row r="146" spans="1:5" x14ac:dyDescent="0.25">
      <c r="A146" s="11">
        <v>45107</v>
      </c>
      <c r="B146" s="12" t="s">
        <v>953</v>
      </c>
      <c r="C146" s="12" t="s">
        <v>951</v>
      </c>
      <c r="D146" s="12"/>
      <c r="E146" s="13">
        <v>-184.5</v>
      </c>
    </row>
    <row r="147" spans="1:5" x14ac:dyDescent="0.25">
      <c r="A147" s="11">
        <v>45107</v>
      </c>
      <c r="B147" s="12" t="s">
        <v>954</v>
      </c>
      <c r="C147" s="12" t="s">
        <v>951</v>
      </c>
      <c r="D147" s="12"/>
      <c r="E147" s="13">
        <v>-471</v>
      </c>
    </row>
    <row r="148" spans="1:5" x14ac:dyDescent="0.25">
      <c r="A148" s="11">
        <v>45107</v>
      </c>
      <c r="B148" s="12" t="s">
        <v>955</v>
      </c>
      <c r="C148" s="12" t="s">
        <v>951</v>
      </c>
      <c r="D148" s="12"/>
      <c r="E148" s="13">
        <v>-517.5</v>
      </c>
    </row>
    <row r="149" spans="1:5" x14ac:dyDescent="0.25">
      <c r="A149" s="11">
        <v>45107</v>
      </c>
      <c r="B149" s="12" t="s">
        <v>956</v>
      </c>
      <c r="C149" s="12" t="s">
        <v>951</v>
      </c>
      <c r="D149" s="12"/>
      <c r="E149" s="13">
        <v>-267</v>
      </c>
    </row>
    <row r="150" spans="1:5" x14ac:dyDescent="0.25">
      <c r="A150" s="11">
        <v>45107</v>
      </c>
      <c r="B150" s="12" t="s">
        <v>957</v>
      </c>
      <c r="C150" s="12" t="s">
        <v>958</v>
      </c>
      <c r="D150" s="12"/>
      <c r="E150" s="13">
        <v>-196.5</v>
      </c>
    </row>
    <row r="151" spans="1:5" x14ac:dyDescent="0.25">
      <c r="A151" s="11">
        <v>45119</v>
      </c>
      <c r="B151" s="12" t="s">
        <v>959</v>
      </c>
      <c r="C151" s="12" t="s">
        <v>960</v>
      </c>
      <c r="D151" s="12"/>
      <c r="E151" s="13">
        <v>-747</v>
      </c>
    </row>
    <row r="152" spans="1:5" x14ac:dyDescent="0.25">
      <c r="A152" s="11">
        <v>45119</v>
      </c>
      <c r="B152" s="12" t="s">
        <v>961</v>
      </c>
      <c r="C152" s="12" t="s">
        <v>962</v>
      </c>
      <c r="D152" s="12"/>
      <c r="E152" s="13">
        <v>-90</v>
      </c>
    </row>
    <row r="153" spans="1:5" x14ac:dyDescent="0.25">
      <c r="A153" s="11">
        <v>45119</v>
      </c>
      <c r="B153" s="12" t="s">
        <v>963</v>
      </c>
      <c r="C153" s="12" t="s">
        <v>964</v>
      </c>
      <c r="D153" s="12"/>
      <c r="E153" s="13">
        <v>-322.5</v>
      </c>
    </row>
    <row r="154" spans="1:5" x14ac:dyDescent="0.25">
      <c r="A154" s="11">
        <v>45119</v>
      </c>
      <c r="B154" s="12" t="s">
        <v>965</v>
      </c>
      <c r="C154" s="12" t="s">
        <v>966</v>
      </c>
      <c r="D154" s="12"/>
      <c r="E154" s="13">
        <v>-432</v>
      </c>
    </row>
    <row r="155" spans="1:5" x14ac:dyDescent="0.25">
      <c r="A155" s="11">
        <v>45119</v>
      </c>
      <c r="B155" s="12" t="s">
        <v>967</v>
      </c>
      <c r="C155" s="12" t="s">
        <v>968</v>
      </c>
      <c r="D155" s="12"/>
      <c r="E155" s="13">
        <v>-72</v>
      </c>
    </row>
    <row r="156" spans="1:5" x14ac:dyDescent="0.25">
      <c r="A156" s="11">
        <v>45119</v>
      </c>
      <c r="B156" s="12" t="s">
        <v>969</v>
      </c>
      <c r="C156" s="12" t="s">
        <v>970</v>
      </c>
      <c r="D156" s="12"/>
      <c r="E156" s="13">
        <v>-603</v>
      </c>
    </row>
    <row r="157" spans="1:5" x14ac:dyDescent="0.25">
      <c r="A157" s="11">
        <v>45119</v>
      </c>
      <c r="B157" s="12" t="s">
        <v>971</v>
      </c>
      <c r="C157" s="12" t="s">
        <v>972</v>
      </c>
      <c r="D157" s="12"/>
      <c r="E157" s="13">
        <v>-226</v>
      </c>
    </row>
    <row r="158" spans="1:5" x14ac:dyDescent="0.25">
      <c r="A158" s="11">
        <v>45138</v>
      </c>
      <c r="B158" s="12" t="s">
        <v>973</v>
      </c>
      <c r="C158" s="12" t="s">
        <v>974</v>
      </c>
      <c r="D158" s="12"/>
      <c r="E158" s="13">
        <v>-735</v>
      </c>
    </row>
    <row r="159" spans="1:5" x14ac:dyDescent="0.25">
      <c r="A159" s="11">
        <v>45138</v>
      </c>
      <c r="B159" s="12" t="s">
        <v>975</v>
      </c>
      <c r="C159" s="12" t="s">
        <v>974</v>
      </c>
      <c r="D159" s="12"/>
      <c r="E159" s="13">
        <v>-535.5</v>
      </c>
    </row>
    <row r="160" spans="1:5" x14ac:dyDescent="0.25">
      <c r="A160" s="11">
        <v>45138</v>
      </c>
      <c r="B160" s="12" t="s">
        <v>976</v>
      </c>
      <c r="C160" s="12" t="s">
        <v>974</v>
      </c>
      <c r="D160" s="12"/>
      <c r="E160" s="13">
        <v>-556.5</v>
      </c>
    </row>
    <row r="161" spans="1:5" x14ac:dyDescent="0.25">
      <c r="A161" s="11">
        <v>45138</v>
      </c>
      <c r="B161" s="12" t="s">
        <v>977</v>
      </c>
      <c r="C161" s="12" t="s">
        <v>978</v>
      </c>
      <c r="D161" s="12"/>
      <c r="E161" s="13">
        <v>-536</v>
      </c>
    </row>
    <row r="162" spans="1:5" x14ac:dyDescent="0.25">
      <c r="A162" s="11">
        <v>45138</v>
      </c>
      <c r="B162" s="12" t="s">
        <v>979</v>
      </c>
      <c r="C162" s="12" t="s">
        <v>978</v>
      </c>
      <c r="D162" s="12"/>
      <c r="E162" s="13">
        <v>-777</v>
      </c>
    </row>
    <row r="163" spans="1:5" x14ac:dyDescent="0.25">
      <c r="A163" s="11">
        <v>45138</v>
      </c>
      <c r="B163" s="12" t="s">
        <v>980</v>
      </c>
      <c r="C163" s="12" t="s">
        <v>981</v>
      </c>
      <c r="D163" s="12"/>
      <c r="E163" s="13">
        <v>-110</v>
      </c>
    </row>
    <row r="164" spans="1:5" x14ac:dyDescent="0.25">
      <c r="A164" s="11">
        <v>45138</v>
      </c>
      <c r="B164" s="12" t="s">
        <v>982</v>
      </c>
      <c r="C164" s="12" t="s">
        <v>981</v>
      </c>
      <c r="D164" s="12"/>
      <c r="E164" s="13">
        <v>-180</v>
      </c>
    </row>
    <row r="165" spans="1:5" x14ac:dyDescent="0.25">
      <c r="A165" s="11">
        <v>45138</v>
      </c>
      <c r="B165" s="12" t="s">
        <v>983</v>
      </c>
      <c r="C165" s="12" t="s">
        <v>981</v>
      </c>
      <c r="D165" s="12"/>
      <c r="E165" s="13">
        <v>-70</v>
      </c>
    </row>
    <row r="166" spans="1:5" x14ac:dyDescent="0.25">
      <c r="A166" s="11">
        <v>45138</v>
      </c>
      <c r="B166" s="12" t="s">
        <v>984</v>
      </c>
      <c r="C166" s="12" t="s">
        <v>981</v>
      </c>
      <c r="D166" s="12"/>
      <c r="E166" s="13">
        <v>-80</v>
      </c>
    </row>
    <row r="167" spans="1:5" x14ac:dyDescent="0.25">
      <c r="A167" s="11">
        <v>45138</v>
      </c>
      <c r="B167" s="12" t="s">
        <v>985</v>
      </c>
      <c r="C167" s="12" t="s">
        <v>981</v>
      </c>
      <c r="D167" s="12"/>
      <c r="E167" s="13">
        <v>-110</v>
      </c>
    </row>
    <row r="168" spans="1:5" x14ac:dyDescent="0.25">
      <c r="A168" s="11">
        <v>45138</v>
      </c>
      <c r="B168" s="12" t="s">
        <v>986</v>
      </c>
      <c r="C168" s="12" t="s">
        <v>981</v>
      </c>
      <c r="D168" s="12"/>
      <c r="E168" s="13">
        <v>-90</v>
      </c>
    </row>
    <row r="169" spans="1:5" x14ac:dyDescent="0.25">
      <c r="A169" s="11">
        <v>45138</v>
      </c>
      <c r="B169" s="12" t="s">
        <v>987</v>
      </c>
      <c r="C169" s="12" t="s">
        <v>981</v>
      </c>
      <c r="D169" s="12"/>
      <c r="E169" s="13">
        <v>-90</v>
      </c>
    </row>
    <row r="170" spans="1:5" x14ac:dyDescent="0.25">
      <c r="A170" s="11">
        <v>45138</v>
      </c>
      <c r="B170" s="12" t="s">
        <v>988</v>
      </c>
      <c r="C170" s="12" t="s">
        <v>981</v>
      </c>
      <c r="D170" s="12"/>
      <c r="E170" s="13">
        <v>-85</v>
      </c>
    </row>
    <row r="171" spans="1:5" x14ac:dyDescent="0.25">
      <c r="A171" s="11">
        <v>45138</v>
      </c>
      <c r="B171" s="12" t="s">
        <v>989</v>
      </c>
      <c r="C171" s="12" t="s">
        <v>990</v>
      </c>
      <c r="D171" s="12"/>
      <c r="E171" s="13">
        <v>-1549.5</v>
      </c>
    </row>
    <row r="172" spans="1:5" x14ac:dyDescent="0.25">
      <c r="A172" s="11">
        <v>45138</v>
      </c>
      <c r="B172" s="12" t="s">
        <v>991</v>
      </c>
      <c r="C172" s="12" t="s">
        <v>992</v>
      </c>
      <c r="D172" s="12"/>
      <c r="E172" s="13">
        <v>-124.5</v>
      </c>
    </row>
    <row r="173" spans="1:5" x14ac:dyDescent="0.25">
      <c r="A173" s="11">
        <v>45138</v>
      </c>
      <c r="B173" s="12" t="s">
        <v>993</v>
      </c>
      <c r="C173" s="12" t="s">
        <v>994</v>
      </c>
      <c r="D173" s="12"/>
      <c r="E173" s="13">
        <v>-40</v>
      </c>
    </row>
    <row r="174" spans="1:5" x14ac:dyDescent="0.25">
      <c r="A174" s="11">
        <v>45138</v>
      </c>
      <c r="B174" s="12" t="s">
        <v>995</v>
      </c>
      <c r="C174" s="12" t="s">
        <v>994</v>
      </c>
      <c r="D174" s="12"/>
      <c r="E174" s="13">
        <v>-30</v>
      </c>
    </row>
    <row r="175" spans="1:5" x14ac:dyDescent="0.25">
      <c r="A175" s="11">
        <v>45148</v>
      </c>
      <c r="B175" s="12" t="s">
        <v>996</v>
      </c>
      <c r="C175" s="12" t="s">
        <v>997</v>
      </c>
      <c r="D175" s="12"/>
      <c r="E175" s="13">
        <v>-885</v>
      </c>
    </row>
    <row r="176" spans="1:5" x14ac:dyDescent="0.25">
      <c r="A176" s="11">
        <v>45148</v>
      </c>
      <c r="B176" s="12" t="s">
        <v>998</v>
      </c>
      <c r="C176" s="12" t="s">
        <v>997</v>
      </c>
      <c r="D176" s="12"/>
      <c r="E176" s="13">
        <v>-54</v>
      </c>
    </row>
    <row r="177" spans="1:5" x14ac:dyDescent="0.25">
      <c r="A177" s="11">
        <v>45148</v>
      </c>
      <c r="B177" s="12" t="s">
        <v>999</v>
      </c>
      <c r="C177" s="12" t="s">
        <v>1000</v>
      </c>
      <c r="D177" s="12"/>
      <c r="E177" s="13">
        <v>-60</v>
      </c>
    </row>
    <row r="178" spans="1:5" x14ac:dyDescent="0.25">
      <c r="A178" s="11">
        <v>45148</v>
      </c>
      <c r="B178" s="12" t="s">
        <v>1001</v>
      </c>
      <c r="C178" s="12" t="s">
        <v>1000</v>
      </c>
      <c r="D178" s="12"/>
      <c r="E178" s="13">
        <v>-360</v>
      </c>
    </row>
    <row r="179" spans="1:5" x14ac:dyDescent="0.25">
      <c r="A179" s="11">
        <v>45148</v>
      </c>
      <c r="B179" s="12" t="s">
        <v>1002</v>
      </c>
      <c r="C179" s="12" t="s">
        <v>1000</v>
      </c>
      <c r="D179" s="12"/>
      <c r="E179" s="13">
        <v>-110</v>
      </c>
    </row>
    <row r="180" spans="1:5" x14ac:dyDescent="0.25">
      <c r="A180" s="11">
        <v>45148</v>
      </c>
      <c r="B180" s="12" t="s">
        <v>1003</v>
      </c>
      <c r="C180" s="12" t="s">
        <v>1000</v>
      </c>
      <c r="D180" s="12"/>
      <c r="E180" s="13">
        <v>-50</v>
      </c>
    </row>
    <row r="181" spans="1:5" x14ac:dyDescent="0.25">
      <c r="A181" s="11">
        <v>45148</v>
      </c>
      <c r="B181" s="12" t="s">
        <v>1004</v>
      </c>
      <c r="C181" s="12" t="s">
        <v>1000</v>
      </c>
      <c r="D181" s="12"/>
      <c r="E181" s="13">
        <v>-50</v>
      </c>
    </row>
    <row r="182" spans="1:5" x14ac:dyDescent="0.25">
      <c r="A182" s="11">
        <v>45148</v>
      </c>
      <c r="B182" s="12" t="s">
        <v>1005</v>
      </c>
      <c r="C182" s="12" t="s">
        <v>1000</v>
      </c>
      <c r="D182" s="12"/>
      <c r="E182" s="13">
        <v>-60</v>
      </c>
    </row>
    <row r="183" spans="1:5" x14ac:dyDescent="0.25">
      <c r="A183" s="11">
        <v>45148</v>
      </c>
      <c r="B183" s="12" t="s">
        <v>1006</v>
      </c>
      <c r="C183" s="12" t="s">
        <v>1000</v>
      </c>
      <c r="D183" s="12"/>
      <c r="E183" s="13">
        <v>-360</v>
      </c>
    </row>
    <row r="184" spans="1:5" x14ac:dyDescent="0.25">
      <c r="A184" s="11">
        <v>45148</v>
      </c>
      <c r="B184" s="12" t="s">
        <v>1007</v>
      </c>
      <c r="C184" s="12" t="s">
        <v>1000</v>
      </c>
      <c r="D184" s="12"/>
      <c r="E184" s="13">
        <v>-140</v>
      </c>
    </row>
    <row r="185" spans="1:5" x14ac:dyDescent="0.25">
      <c r="A185" s="11">
        <v>45148</v>
      </c>
      <c r="B185" s="12" t="s">
        <v>1008</v>
      </c>
      <c r="C185" s="12" t="s">
        <v>1000</v>
      </c>
      <c r="D185" s="12"/>
      <c r="E185" s="13">
        <v>-50</v>
      </c>
    </row>
    <row r="186" spans="1:5" x14ac:dyDescent="0.25">
      <c r="A186" s="11">
        <v>45148</v>
      </c>
      <c r="B186" s="12" t="s">
        <v>1009</v>
      </c>
      <c r="C186" s="12" t="s">
        <v>1000</v>
      </c>
      <c r="D186" s="12"/>
      <c r="E186" s="13">
        <v>-40</v>
      </c>
    </row>
    <row r="187" spans="1:5" x14ac:dyDescent="0.25">
      <c r="A187" s="11">
        <v>45169</v>
      </c>
      <c r="B187" s="12" t="s">
        <v>1010</v>
      </c>
      <c r="C187" s="12" t="s">
        <v>1011</v>
      </c>
      <c r="D187" s="12"/>
      <c r="E187" s="13">
        <v>-60</v>
      </c>
    </row>
    <row r="188" spans="1:5" x14ac:dyDescent="0.25">
      <c r="A188" s="11">
        <v>45169</v>
      </c>
      <c r="B188" s="12" t="s">
        <v>1012</v>
      </c>
      <c r="C188" s="12" t="s">
        <v>1011</v>
      </c>
      <c r="D188" s="12"/>
      <c r="E188" s="13">
        <v>-60</v>
      </c>
    </row>
    <row r="189" spans="1:5" x14ac:dyDescent="0.25">
      <c r="A189" s="11">
        <v>45169</v>
      </c>
      <c r="B189" s="12" t="s">
        <v>1013</v>
      </c>
      <c r="C189" s="12" t="s">
        <v>1011</v>
      </c>
      <c r="D189" s="12"/>
      <c r="E189" s="13">
        <v>-60</v>
      </c>
    </row>
    <row r="190" spans="1:5" x14ac:dyDescent="0.25">
      <c r="A190" s="11">
        <v>45169</v>
      </c>
      <c r="B190" s="12" t="s">
        <v>1014</v>
      </c>
      <c r="C190" s="12" t="s">
        <v>1011</v>
      </c>
      <c r="D190" s="12"/>
      <c r="E190" s="13">
        <v>-70</v>
      </c>
    </row>
    <row r="191" spans="1:5" x14ac:dyDescent="0.25">
      <c r="A191" s="11">
        <v>45169</v>
      </c>
      <c r="B191" s="12" t="s">
        <v>1015</v>
      </c>
      <c r="C191" s="12" t="s">
        <v>1011</v>
      </c>
      <c r="D191" s="12"/>
      <c r="E191" s="13">
        <v>-40</v>
      </c>
    </row>
    <row r="192" spans="1:5" x14ac:dyDescent="0.25">
      <c r="A192" s="11">
        <v>45169</v>
      </c>
      <c r="B192" s="12" t="s">
        <v>1016</v>
      </c>
      <c r="C192" s="12" t="s">
        <v>1011</v>
      </c>
      <c r="D192" s="12"/>
      <c r="E192" s="13">
        <v>-40</v>
      </c>
    </row>
    <row r="193" spans="1:5" x14ac:dyDescent="0.25">
      <c r="A193" s="11">
        <v>45169</v>
      </c>
      <c r="B193" s="12" t="s">
        <v>1017</v>
      </c>
      <c r="C193" s="12" t="s">
        <v>1011</v>
      </c>
      <c r="D193" s="12"/>
      <c r="E193" s="13">
        <v>-70</v>
      </c>
    </row>
    <row r="194" spans="1:5" x14ac:dyDescent="0.25">
      <c r="A194" s="11">
        <v>45169</v>
      </c>
      <c r="B194" s="12" t="s">
        <v>1018</v>
      </c>
      <c r="C194" s="12" t="s">
        <v>1011</v>
      </c>
      <c r="D194" s="12"/>
      <c r="E194" s="13">
        <v>-90</v>
      </c>
    </row>
    <row r="195" spans="1:5" x14ac:dyDescent="0.25">
      <c r="A195" s="11">
        <v>45169</v>
      </c>
      <c r="B195" s="12" t="s">
        <v>1019</v>
      </c>
      <c r="C195" s="12" t="s">
        <v>1011</v>
      </c>
      <c r="D195" s="12"/>
      <c r="E195" s="13">
        <v>-60</v>
      </c>
    </row>
    <row r="196" spans="1:5" x14ac:dyDescent="0.25">
      <c r="A196" s="11">
        <v>45169</v>
      </c>
      <c r="B196" s="12" t="s">
        <v>1020</v>
      </c>
      <c r="C196" s="12" t="s">
        <v>1011</v>
      </c>
      <c r="D196" s="12"/>
      <c r="E196" s="13">
        <v>-90</v>
      </c>
    </row>
    <row r="197" spans="1:5" x14ac:dyDescent="0.25">
      <c r="A197" s="11">
        <v>45169</v>
      </c>
      <c r="B197" s="12" t="s">
        <v>1021</v>
      </c>
      <c r="C197" s="12" t="s">
        <v>1011</v>
      </c>
      <c r="D197" s="12"/>
      <c r="E197" s="13">
        <v>-90</v>
      </c>
    </row>
    <row r="198" spans="1:5" x14ac:dyDescent="0.25">
      <c r="A198" s="11">
        <v>45169</v>
      </c>
      <c r="B198" s="12" t="s">
        <v>1022</v>
      </c>
      <c r="C198" s="12" t="s">
        <v>1023</v>
      </c>
      <c r="D198" s="12"/>
      <c r="E198" s="13">
        <v>-60</v>
      </c>
    </row>
    <row r="199" spans="1:5" x14ac:dyDescent="0.25">
      <c r="A199" s="11">
        <v>45169</v>
      </c>
      <c r="B199" s="12" t="s">
        <v>1024</v>
      </c>
      <c r="C199" s="12" t="s">
        <v>1023</v>
      </c>
      <c r="D199" s="12"/>
      <c r="E199" s="13">
        <v>-60</v>
      </c>
    </row>
    <row r="200" spans="1:5" x14ac:dyDescent="0.25">
      <c r="A200" s="11">
        <v>45169</v>
      </c>
      <c r="B200" s="12" t="s">
        <v>1025</v>
      </c>
      <c r="C200" s="12" t="s">
        <v>1026</v>
      </c>
      <c r="D200" s="12"/>
      <c r="E200" s="13">
        <v>-85</v>
      </c>
    </row>
    <row r="201" spans="1:5" x14ac:dyDescent="0.25">
      <c r="A201" s="11">
        <v>45169</v>
      </c>
      <c r="B201" s="12" t="s">
        <v>1027</v>
      </c>
      <c r="C201" s="12" t="s">
        <v>1026</v>
      </c>
      <c r="D201" s="12"/>
      <c r="E201" s="13">
        <v>-150</v>
      </c>
    </row>
    <row r="202" spans="1:5" x14ac:dyDescent="0.25">
      <c r="A202" s="11">
        <v>45169</v>
      </c>
      <c r="B202" s="12" t="s">
        <v>1028</v>
      </c>
      <c r="C202" s="12" t="s">
        <v>1026</v>
      </c>
      <c r="D202" s="12"/>
      <c r="E202" s="13">
        <v>-150</v>
      </c>
    </row>
    <row r="203" spans="1:5" x14ac:dyDescent="0.25">
      <c r="A203" s="11">
        <v>45169</v>
      </c>
      <c r="B203" s="12" t="s">
        <v>1029</v>
      </c>
      <c r="C203" s="12" t="s">
        <v>1026</v>
      </c>
      <c r="D203" s="12"/>
      <c r="E203" s="13">
        <v>-70</v>
      </c>
    </row>
    <row r="204" spans="1:5" x14ac:dyDescent="0.25">
      <c r="A204" s="11">
        <v>45169</v>
      </c>
      <c r="B204" s="12" t="s">
        <v>1030</v>
      </c>
      <c r="C204" s="12" t="s">
        <v>1026</v>
      </c>
      <c r="D204" s="12"/>
      <c r="E204" s="13">
        <v>-60</v>
      </c>
    </row>
    <row r="205" spans="1:5" x14ac:dyDescent="0.25">
      <c r="A205" s="11">
        <v>45169</v>
      </c>
      <c r="B205" s="12" t="s">
        <v>1031</v>
      </c>
      <c r="C205" s="12" t="s">
        <v>1026</v>
      </c>
      <c r="D205" s="12"/>
      <c r="E205" s="13">
        <v>-35</v>
      </c>
    </row>
    <row r="206" spans="1:5" x14ac:dyDescent="0.25">
      <c r="A206" s="11">
        <v>45169</v>
      </c>
      <c r="B206" s="12" t="s">
        <v>1032</v>
      </c>
      <c r="C206" s="12" t="s">
        <v>1026</v>
      </c>
      <c r="D206" s="12"/>
      <c r="E206" s="13">
        <v>-35</v>
      </c>
    </row>
    <row r="207" spans="1:5" x14ac:dyDescent="0.25">
      <c r="A207" s="11">
        <v>45169</v>
      </c>
      <c r="B207" s="12" t="s">
        <v>1033</v>
      </c>
      <c r="C207" s="12" t="s">
        <v>1026</v>
      </c>
      <c r="D207" s="12"/>
      <c r="E207" s="13">
        <v>-70</v>
      </c>
    </row>
    <row r="208" spans="1:5" x14ac:dyDescent="0.25">
      <c r="A208" s="11">
        <v>45169</v>
      </c>
      <c r="B208" s="12" t="s">
        <v>1034</v>
      </c>
      <c r="C208" s="12" t="s">
        <v>1026</v>
      </c>
      <c r="D208" s="12"/>
      <c r="E208" s="13">
        <v>-60</v>
      </c>
    </row>
    <row r="209" spans="1:5" x14ac:dyDescent="0.25">
      <c r="A209" s="11">
        <v>45169</v>
      </c>
      <c r="B209" s="12" t="s">
        <v>1035</v>
      </c>
      <c r="C209" s="12" t="s">
        <v>1036</v>
      </c>
      <c r="D209" s="12"/>
      <c r="E209" s="13">
        <v>-126</v>
      </c>
    </row>
    <row r="210" spans="1:5" x14ac:dyDescent="0.25">
      <c r="A210" s="11">
        <v>45169</v>
      </c>
      <c r="B210" s="12" t="s">
        <v>1037</v>
      </c>
      <c r="C210" s="12" t="s">
        <v>1038</v>
      </c>
      <c r="D210" s="12"/>
      <c r="E210" s="13">
        <v>-126</v>
      </c>
    </row>
    <row r="211" spans="1:5" x14ac:dyDescent="0.25">
      <c r="A211" s="11">
        <v>45169</v>
      </c>
      <c r="B211" s="12" t="s">
        <v>1039</v>
      </c>
      <c r="C211" s="12" t="s">
        <v>1040</v>
      </c>
      <c r="D211" s="12"/>
      <c r="E211" s="13">
        <v>-309</v>
      </c>
    </row>
    <row r="212" spans="1:5" x14ac:dyDescent="0.25">
      <c r="A212" s="11">
        <v>45169</v>
      </c>
      <c r="B212" s="12" t="s">
        <v>1041</v>
      </c>
      <c r="C212" s="12" t="s">
        <v>1040</v>
      </c>
      <c r="D212" s="12"/>
      <c r="E212" s="13">
        <v>-390</v>
      </c>
    </row>
    <row r="213" spans="1:5" x14ac:dyDescent="0.25">
      <c r="A213" s="11">
        <v>45169</v>
      </c>
      <c r="B213" s="12" t="s">
        <v>1042</v>
      </c>
      <c r="C213" s="12" t="s">
        <v>1040</v>
      </c>
      <c r="D213" s="12"/>
      <c r="E213" s="13">
        <v>-240</v>
      </c>
    </row>
    <row r="214" spans="1:5" x14ac:dyDescent="0.25">
      <c r="A214" s="11">
        <v>45169</v>
      </c>
      <c r="B214" s="12" t="s">
        <v>35</v>
      </c>
      <c r="C214" s="12" t="s">
        <v>1043</v>
      </c>
      <c r="D214" s="12"/>
      <c r="E214" s="13">
        <v>-120</v>
      </c>
    </row>
    <row r="215" spans="1:5" x14ac:dyDescent="0.25">
      <c r="A215" s="11">
        <v>45169</v>
      </c>
      <c r="B215" s="12" t="s">
        <v>1044</v>
      </c>
      <c r="C215" s="12" t="s">
        <v>1045</v>
      </c>
      <c r="D215" s="12"/>
      <c r="E215" s="13">
        <v>-60</v>
      </c>
    </row>
    <row r="216" spans="1:5" x14ac:dyDescent="0.25">
      <c r="A216" s="11">
        <v>45169</v>
      </c>
      <c r="B216" s="12" t="s">
        <v>41</v>
      </c>
      <c r="C216" s="12" t="s">
        <v>1043</v>
      </c>
      <c r="D216" s="12"/>
      <c r="E216" s="13">
        <v>-75</v>
      </c>
    </row>
    <row r="217" spans="1:5" x14ac:dyDescent="0.25">
      <c r="A217" s="11">
        <v>45169</v>
      </c>
      <c r="B217" s="12" t="s">
        <v>24</v>
      </c>
      <c r="C217" s="12" t="s">
        <v>1043</v>
      </c>
      <c r="D217" s="12"/>
      <c r="E217" s="13">
        <v>-90</v>
      </c>
    </row>
    <row r="218" spans="1:5" x14ac:dyDescent="0.25">
      <c r="A218" s="11">
        <v>45169</v>
      </c>
      <c r="B218" s="12" t="s">
        <v>40</v>
      </c>
      <c r="C218" s="12" t="s">
        <v>1043</v>
      </c>
      <c r="D218" s="12"/>
      <c r="E218" s="13">
        <v>-60</v>
      </c>
    </row>
    <row r="219" spans="1:5" x14ac:dyDescent="0.25">
      <c r="A219" s="11">
        <v>45169</v>
      </c>
      <c r="B219" s="12" t="s">
        <v>48</v>
      </c>
      <c r="C219" s="12" t="s">
        <v>1043</v>
      </c>
      <c r="D219" s="12"/>
      <c r="E219" s="13">
        <v>-40</v>
      </c>
    </row>
    <row r="220" spans="1:5" x14ac:dyDescent="0.25">
      <c r="A220" s="11">
        <v>45169</v>
      </c>
      <c r="B220" s="12" t="s">
        <v>45</v>
      </c>
      <c r="C220" s="12" t="s">
        <v>1043</v>
      </c>
      <c r="D220" s="12"/>
      <c r="E220" s="13">
        <v>-40</v>
      </c>
    </row>
    <row r="221" spans="1:5" x14ac:dyDescent="0.25">
      <c r="A221" s="11">
        <v>45169</v>
      </c>
      <c r="B221" s="12" t="s">
        <v>38</v>
      </c>
      <c r="C221" s="12" t="s">
        <v>1043</v>
      </c>
      <c r="D221" s="12"/>
      <c r="E221" s="13">
        <v>-40</v>
      </c>
    </row>
    <row r="222" spans="1:5" x14ac:dyDescent="0.25">
      <c r="A222" s="11">
        <v>45169</v>
      </c>
      <c r="B222" s="12" t="s">
        <v>28</v>
      </c>
      <c r="C222" s="12" t="s">
        <v>1043</v>
      </c>
      <c r="D222" s="12"/>
      <c r="E222" s="13">
        <v>-90</v>
      </c>
    </row>
    <row r="223" spans="1:5" x14ac:dyDescent="0.25">
      <c r="A223" s="11">
        <v>45169</v>
      </c>
      <c r="B223" s="12" t="s">
        <v>37</v>
      </c>
      <c r="C223" s="12" t="s">
        <v>1043</v>
      </c>
      <c r="D223" s="12"/>
      <c r="E223" s="13">
        <v>-40</v>
      </c>
    </row>
    <row r="224" spans="1:5" x14ac:dyDescent="0.25">
      <c r="A224" s="11">
        <v>45169</v>
      </c>
      <c r="B224" s="12" t="s">
        <v>34</v>
      </c>
      <c r="C224" s="12" t="s">
        <v>1043</v>
      </c>
      <c r="D224" s="12"/>
      <c r="E224" s="13">
        <v>-50</v>
      </c>
    </row>
    <row r="225" spans="1:5" x14ac:dyDescent="0.25">
      <c r="A225" s="11">
        <v>45169</v>
      </c>
      <c r="B225" s="12" t="s">
        <v>43</v>
      </c>
      <c r="C225" s="12" t="s">
        <v>1043</v>
      </c>
      <c r="D225" s="12"/>
      <c r="E225" s="13">
        <v>-70</v>
      </c>
    </row>
    <row r="226" spans="1:5" x14ac:dyDescent="0.25">
      <c r="A226" s="11">
        <v>45169</v>
      </c>
      <c r="B226" s="12" t="s">
        <v>32</v>
      </c>
      <c r="C226" s="12" t="s">
        <v>1043</v>
      </c>
      <c r="D226" s="12"/>
      <c r="E226" s="13">
        <v>-180</v>
      </c>
    </row>
    <row r="227" spans="1:5" x14ac:dyDescent="0.25">
      <c r="A227" s="11">
        <v>45169</v>
      </c>
      <c r="B227" s="12" t="s">
        <v>46</v>
      </c>
      <c r="C227" s="12" t="s">
        <v>1043</v>
      </c>
      <c r="D227" s="12"/>
      <c r="E227" s="13">
        <v>-70</v>
      </c>
    </row>
    <row r="228" spans="1:5" x14ac:dyDescent="0.25">
      <c r="A228" s="11">
        <v>45169</v>
      </c>
      <c r="B228" s="12" t="s">
        <v>30</v>
      </c>
      <c r="C228" s="12" t="s">
        <v>1043</v>
      </c>
      <c r="D228" s="12"/>
      <c r="E228" s="13">
        <v>-90</v>
      </c>
    </row>
    <row r="229" spans="1:5" x14ac:dyDescent="0.25">
      <c r="A229" s="11">
        <v>45169</v>
      </c>
      <c r="B229" s="12" t="s">
        <v>49</v>
      </c>
      <c r="C229" s="12" t="s">
        <v>1043</v>
      </c>
      <c r="D229" s="12"/>
      <c r="E229" s="13">
        <v>-100</v>
      </c>
    </row>
    <row r="230" spans="1:5" x14ac:dyDescent="0.25">
      <c r="A230" s="11">
        <v>45169</v>
      </c>
      <c r="B230" s="12" t="s">
        <v>42</v>
      </c>
      <c r="C230" s="12" t="s">
        <v>1043</v>
      </c>
      <c r="D230" s="12"/>
      <c r="E230" s="13">
        <v>-85</v>
      </c>
    </row>
    <row r="231" spans="1:5" x14ac:dyDescent="0.25">
      <c r="A231" s="11">
        <v>45169</v>
      </c>
      <c r="B231" s="12" t="s">
        <v>1046</v>
      </c>
      <c r="C231" s="12" t="s">
        <v>1047</v>
      </c>
      <c r="D231" s="12"/>
      <c r="E231" s="13">
        <v>-90</v>
      </c>
    </row>
    <row r="232" spans="1:5" x14ac:dyDescent="0.25">
      <c r="A232" s="11">
        <v>45169</v>
      </c>
      <c r="B232" s="12" t="s">
        <v>1048</v>
      </c>
      <c r="C232" s="12" t="s">
        <v>1047</v>
      </c>
      <c r="D232" s="12"/>
      <c r="E232" s="13">
        <v>-180</v>
      </c>
    </row>
    <row r="233" spans="1:5" x14ac:dyDescent="0.25">
      <c r="A233" s="11">
        <v>45169</v>
      </c>
      <c r="B233" s="12" t="s">
        <v>1049</v>
      </c>
      <c r="C233" s="12" t="s">
        <v>1047</v>
      </c>
      <c r="D233" s="12"/>
      <c r="E233" s="13">
        <v>-85</v>
      </c>
    </row>
    <row r="234" spans="1:5" x14ac:dyDescent="0.25">
      <c r="A234" s="11">
        <v>45169</v>
      </c>
      <c r="B234" s="12" t="s">
        <v>1050</v>
      </c>
      <c r="C234" s="12" t="s">
        <v>1047</v>
      </c>
      <c r="D234" s="12"/>
      <c r="E234" s="13">
        <v>-60</v>
      </c>
    </row>
    <row r="235" spans="1:5" x14ac:dyDescent="0.25">
      <c r="A235" s="11">
        <v>45169</v>
      </c>
      <c r="B235" s="12" t="s">
        <v>1051</v>
      </c>
      <c r="C235" s="12" t="s">
        <v>994</v>
      </c>
      <c r="D235" s="12"/>
      <c r="E235" s="13">
        <v>-40</v>
      </c>
    </row>
    <row r="236" spans="1:5" x14ac:dyDescent="0.25">
      <c r="A236" s="11">
        <v>45169</v>
      </c>
      <c r="B236" s="12" t="s">
        <v>1052</v>
      </c>
      <c r="C236" s="12" t="s">
        <v>994</v>
      </c>
      <c r="D236" s="12"/>
      <c r="E236" s="13">
        <v>-35</v>
      </c>
    </row>
    <row r="237" spans="1:5" x14ac:dyDescent="0.25">
      <c r="A237" s="11">
        <v>45169</v>
      </c>
      <c r="B237" s="12" t="s">
        <v>1053</v>
      </c>
      <c r="C237" s="12" t="s">
        <v>1054</v>
      </c>
      <c r="D237" s="12"/>
      <c r="E237" s="13">
        <v>-694.5</v>
      </c>
    </row>
    <row r="238" spans="1:5" x14ac:dyDescent="0.25">
      <c r="A238" s="11">
        <v>45169</v>
      </c>
      <c r="B238" s="12" t="s">
        <v>1055</v>
      </c>
      <c r="C238" s="12" t="s">
        <v>1056</v>
      </c>
      <c r="D238" s="12"/>
      <c r="E238" s="13">
        <v>-625.5</v>
      </c>
    </row>
    <row r="239" spans="1:5" x14ac:dyDescent="0.25">
      <c r="A239" s="11">
        <v>45169</v>
      </c>
      <c r="B239" s="12" t="s">
        <v>1057</v>
      </c>
      <c r="C239" s="12" t="s">
        <v>1058</v>
      </c>
      <c r="D239" s="12"/>
      <c r="E239" s="13">
        <v>-1684.5</v>
      </c>
    </row>
    <row r="240" spans="1:5" x14ac:dyDescent="0.25">
      <c r="A240" s="11">
        <v>45169</v>
      </c>
      <c r="B240" s="12" t="s">
        <v>1059</v>
      </c>
      <c r="C240" s="12" t="s">
        <v>1060</v>
      </c>
      <c r="D240" s="12"/>
      <c r="E240" s="13">
        <v>-70</v>
      </c>
    </row>
    <row r="241" spans="1:5" x14ac:dyDescent="0.25">
      <c r="A241" s="11">
        <v>45169</v>
      </c>
      <c r="B241" s="12" t="s">
        <v>1061</v>
      </c>
      <c r="C241" s="12" t="s">
        <v>1060</v>
      </c>
      <c r="D241" s="12"/>
      <c r="E241" s="13">
        <v>-60</v>
      </c>
    </row>
    <row r="242" spans="1:5" x14ac:dyDescent="0.25">
      <c r="A242" s="11">
        <v>45169</v>
      </c>
      <c r="B242" s="12" t="s">
        <v>1062</v>
      </c>
      <c r="C242" s="12" t="s">
        <v>1060</v>
      </c>
      <c r="D242" s="12"/>
      <c r="E242" s="13">
        <v>-60</v>
      </c>
    </row>
    <row r="243" spans="1:5" x14ac:dyDescent="0.25">
      <c r="A243" s="11">
        <v>45169</v>
      </c>
      <c r="B243" s="12" t="s">
        <v>1063</v>
      </c>
      <c r="C243" s="12" t="s">
        <v>1060</v>
      </c>
      <c r="D243" s="12"/>
      <c r="E243" s="13">
        <v>-70</v>
      </c>
    </row>
    <row r="244" spans="1:5" x14ac:dyDescent="0.25">
      <c r="A244" s="11">
        <v>45169</v>
      </c>
      <c r="B244" s="12" t="s">
        <v>1064</v>
      </c>
      <c r="C244" s="12" t="s">
        <v>1060</v>
      </c>
      <c r="D244" s="12"/>
      <c r="E244" s="13">
        <v>-70</v>
      </c>
    </row>
    <row r="245" spans="1:5" x14ac:dyDescent="0.25">
      <c r="A245" s="11">
        <v>45169</v>
      </c>
      <c r="B245" s="12" t="s">
        <v>1065</v>
      </c>
      <c r="C245" s="12" t="s">
        <v>1060</v>
      </c>
      <c r="D245" s="12"/>
      <c r="E245" s="13">
        <v>-70</v>
      </c>
    </row>
    <row r="246" spans="1:5" x14ac:dyDescent="0.25">
      <c r="A246" s="11">
        <v>45169</v>
      </c>
      <c r="B246" s="12" t="s">
        <v>1066</v>
      </c>
      <c r="C246" s="12" t="s">
        <v>1060</v>
      </c>
      <c r="D246" s="12"/>
      <c r="E246" s="13">
        <v>-70</v>
      </c>
    </row>
    <row r="247" spans="1:5" x14ac:dyDescent="0.25">
      <c r="A247" s="11">
        <v>45169</v>
      </c>
      <c r="B247" s="12" t="s">
        <v>1067</v>
      </c>
      <c r="C247" s="12" t="s">
        <v>1060</v>
      </c>
      <c r="D247" s="12"/>
      <c r="E247" s="13">
        <v>-60</v>
      </c>
    </row>
    <row r="248" spans="1:5" x14ac:dyDescent="0.25">
      <c r="A248" s="11">
        <v>45169</v>
      </c>
      <c r="B248" s="12" t="s">
        <v>1068</v>
      </c>
      <c r="C248" s="12" t="s">
        <v>1060</v>
      </c>
      <c r="D248" s="12"/>
      <c r="E248" s="13">
        <v>-60</v>
      </c>
    </row>
    <row r="249" spans="1:5" x14ac:dyDescent="0.25">
      <c r="A249" s="11">
        <v>45169</v>
      </c>
      <c r="B249" s="12" t="s">
        <v>1069</v>
      </c>
      <c r="C249" s="12" t="s">
        <v>1060</v>
      </c>
      <c r="D249" s="12"/>
      <c r="E249" s="13">
        <v>-70</v>
      </c>
    </row>
    <row r="250" spans="1:5" x14ac:dyDescent="0.25">
      <c r="A250" s="11">
        <v>45169</v>
      </c>
      <c r="B250" s="12" t="s">
        <v>1070</v>
      </c>
      <c r="C250" s="12" t="s">
        <v>1060</v>
      </c>
      <c r="D250" s="12"/>
      <c r="E250" s="13">
        <v>-70</v>
      </c>
    </row>
    <row r="251" spans="1:5" x14ac:dyDescent="0.25">
      <c r="A251" s="11">
        <v>45169</v>
      </c>
      <c r="B251" s="12" t="s">
        <v>1071</v>
      </c>
      <c r="C251" s="12" t="s">
        <v>1060</v>
      </c>
      <c r="D251" s="12"/>
      <c r="E251" s="13">
        <v>-70</v>
      </c>
    </row>
    <row r="252" spans="1:5" x14ac:dyDescent="0.25">
      <c r="A252" s="11">
        <v>45169</v>
      </c>
      <c r="B252" s="12" t="s">
        <v>1072</v>
      </c>
      <c r="C252" s="12" t="s">
        <v>1073</v>
      </c>
      <c r="D252" s="12"/>
      <c r="E252" s="13">
        <v>-639</v>
      </c>
    </row>
    <row r="253" spans="1:5" x14ac:dyDescent="0.25">
      <c r="A253" s="11">
        <v>45169</v>
      </c>
      <c r="B253" s="12" t="s">
        <v>1074</v>
      </c>
      <c r="C253" s="12" t="s">
        <v>1073</v>
      </c>
      <c r="D253" s="12"/>
      <c r="E253" s="13">
        <v>-1878.5</v>
      </c>
    </row>
    <row r="254" spans="1:5" x14ac:dyDescent="0.25">
      <c r="A254" s="11">
        <v>45169</v>
      </c>
      <c r="B254" s="12" t="s">
        <v>1075</v>
      </c>
      <c r="C254" s="12" t="s">
        <v>1073</v>
      </c>
      <c r="D254" s="12"/>
      <c r="E254" s="13">
        <v>-1129.5</v>
      </c>
    </row>
    <row r="255" spans="1:5" x14ac:dyDescent="0.25">
      <c r="A255" s="11">
        <v>45169</v>
      </c>
      <c r="B255" s="12" t="s">
        <v>1076</v>
      </c>
      <c r="C255" s="12" t="s">
        <v>1073</v>
      </c>
      <c r="D255" s="12"/>
      <c r="E255" s="13">
        <v>-726</v>
      </c>
    </row>
    <row r="256" spans="1:5" x14ac:dyDescent="0.25">
      <c r="A256" s="11">
        <v>45199</v>
      </c>
      <c r="B256" s="12" t="s">
        <v>1077</v>
      </c>
      <c r="C256" s="12" t="s">
        <v>1078</v>
      </c>
      <c r="D256" s="12"/>
      <c r="E256" s="13">
        <v>-40</v>
      </c>
    </row>
    <row r="257" spans="1:5" x14ac:dyDescent="0.25">
      <c r="A257" s="11">
        <v>45199</v>
      </c>
      <c r="B257" s="12" t="s">
        <v>1079</v>
      </c>
      <c r="C257" s="12" t="s">
        <v>1078</v>
      </c>
      <c r="D257" s="12"/>
      <c r="E257" s="13">
        <v>-40</v>
      </c>
    </row>
    <row r="258" spans="1:5" x14ac:dyDescent="0.25">
      <c r="A258" s="11">
        <v>45199</v>
      </c>
      <c r="B258" s="12" t="s">
        <v>1080</v>
      </c>
      <c r="C258" s="12" t="s">
        <v>1081</v>
      </c>
      <c r="D258" s="12"/>
      <c r="E258" s="13">
        <v>-1774.5</v>
      </c>
    </row>
    <row r="259" spans="1:5" x14ac:dyDescent="0.25">
      <c r="A259" s="11">
        <v>45199</v>
      </c>
      <c r="B259" s="12" t="s">
        <v>1082</v>
      </c>
      <c r="C259" s="12" t="s">
        <v>1081</v>
      </c>
      <c r="D259" s="12"/>
      <c r="E259" s="13">
        <v>-1297.5</v>
      </c>
    </row>
    <row r="260" spans="1:5" x14ac:dyDescent="0.25">
      <c r="A260" s="11">
        <v>45199</v>
      </c>
      <c r="B260" s="12" t="s">
        <v>1083</v>
      </c>
      <c r="C260" s="12" t="s">
        <v>1081</v>
      </c>
      <c r="D260" s="12"/>
      <c r="E260" s="13">
        <v>-1864</v>
      </c>
    </row>
    <row r="261" spans="1:5" x14ac:dyDescent="0.25">
      <c r="A261" s="11">
        <v>45199</v>
      </c>
      <c r="B261" s="12" t="s">
        <v>1084</v>
      </c>
      <c r="C261" s="12" t="s">
        <v>1081</v>
      </c>
      <c r="D261" s="12"/>
      <c r="E261" s="13">
        <v>-427.5</v>
      </c>
    </row>
    <row r="262" spans="1:5" x14ac:dyDescent="0.25">
      <c r="A262" s="11">
        <v>45199</v>
      </c>
      <c r="B262" s="12" t="s">
        <v>1085</v>
      </c>
      <c r="C262" s="12" t="s">
        <v>1081</v>
      </c>
      <c r="D262" s="12"/>
      <c r="E262" s="13">
        <v>-108</v>
      </c>
    </row>
    <row r="263" spans="1:5" x14ac:dyDescent="0.25">
      <c r="A263" s="11">
        <v>45199</v>
      </c>
      <c r="B263" s="12" t="s">
        <v>1086</v>
      </c>
      <c r="C263" s="12" t="s">
        <v>1087</v>
      </c>
      <c r="D263" s="12"/>
      <c r="E263" s="13">
        <v>-60</v>
      </c>
    </row>
    <row r="264" spans="1:5" x14ac:dyDescent="0.25">
      <c r="A264" s="11">
        <v>45199</v>
      </c>
      <c r="B264" s="12" t="s">
        <v>1088</v>
      </c>
      <c r="C264" s="12" t="s">
        <v>1087</v>
      </c>
      <c r="D264" s="12"/>
      <c r="E264" s="13">
        <v>-150</v>
      </c>
    </row>
    <row r="265" spans="1:5" x14ac:dyDescent="0.25">
      <c r="A265" s="11">
        <v>45199</v>
      </c>
      <c r="B265" s="12" t="s">
        <v>1089</v>
      </c>
      <c r="C265" s="12" t="s">
        <v>1087</v>
      </c>
      <c r="D265" s="12"/>
      <c r="E265" s="13">
        <v>-100</v>
      </c>
    </row>
    <row r="266" spans="1:5" x14ac:dyDescent="0.25">
      <c r="A266" s="11">
        <v>45199</v>
      </c>
      <c r="B266" s="12" t="s">
        <v>1090</v>
      </c>
      <c r="C266" s="12" t="s">
        <v>1087</v>
      </c>
      <c r="D266" s="12"/>
      <c r="E266" s="13">
        <v>-70</v>
      </c>
    </row>
    <row r="267" spans="1:5" x14ac:dyDescent="0.25">
      <c r="A267" s="11">
        <v>45199</v>
      </c>
      <c r="B267" s="12" t="s">
        <v>1091</v>
      </c>
      <c r="C267" s="12" t="s">
        <v>1092</v>
      </c>
      <c r="D267" s="12"/>
      <c r="E267" s="13">
        <v>-313.5</v>
      </c>
    </row>
    <row r="268" spans="1:5" x14ac:dyDescent="0.25">
      <c r="A268" s="11">
        <v>45199</v>
      </c>
      <c r="B268" s="12" t="s">
        <v>1093</v>
      </c>
      <c r="C268" s="12" t="s">
        <v>1094</v>
      </c>
      <c r="D268" s="12"/>
      <c r="E268" s="13">
        <v>-136.5</v>
      </c>
    </row>
    <row r="269" spans="1:5" x14ac:dyDescent="0.25">
      <c r="A269" s="11">
        <v>45199</v>
      </c>
      <c r="B269" s="12" t="s">
        <v>1095</v>
      </c>
      <c r="C269" s="12" t="s">
        <v>1096</v>
      </c>
      <c r="D269" s="12"/>
      <c r="E269" s="13">
        <v>-136.5</v>
      </c>
    </row>
    <row r="270" spans="1:5" x14ac:dyDescent="0.25">
      <c r="A270" s="11">
        <v>45199</v>
      </c>
      <c r="B270" s="12" t="s">
        <v>1097</v>
      </c>
      <c r="C270" s="12" t="s">
        <v>1096</v>
      </c>
      <c r="D270" s="12"/>
      <c r="E270" s="13">
        <v>-2768.5</v>
      </c>
    </row>
    <row r="271" spans="1:5" x14ac:dyDescent="0.25">
      <c r="A271" s="11">
        <v>45199</v>
      </c>
      <c r="B271" s="12" t="s">
        <v>1098</v>
      </c>
      <c r="C271" s="12" t="s">
        <v>1099</v>
      </c>
      <c r="D271" s="12"/>
      <c r="E271" s="13">
        <v>-1492.5</v>
      </c>
    </row>
    <row r="272" spans="1:5" x14ac:dyDescent="0.25">
      <c r="A272" s="11">
        <v>45199</v>
      </c>
      <c r="B272" s="12" t="s">
        <v>1100</v>
      </c>
      <c r="C272" s="12" t="s">
        <v>1099</v>
      </c>
      <c r="D272" s="12"/>
      <c r="E272" s="13">
        <v>-2389.5</v>
      </c>
    </row>
    <row r="273" spans="1:5" x14ac:dyDescent="0.25">
      <c r="A273" s="11">
        <v>45199</v>
      </c>
      <c r="B273" s="12" t="s">
        <v>1101</v>
      </c>
      <c r="C273" s="12" t="s">
        <v>1102</v>
      </c>
      <c r="D273" s="12"/>
      <c r="E273" s="13">
        <v>-150</v>
      </c>
    </row>
    <row r="274" spans="1:5" x14ac:dyDescent="0.25">
      <c r="A274" s="11">
        <v>45199</v>
      </c>
      <c r="B274" s="12" t="s">
        <v>1103</v>
      </c>
      <c r="C274" s="12" t="s">
        <v>1102</v>
      </c>
      <c r="D274" s="12"/>
      <c r="E274" s="13">
        <v>-60</v>
      </c>
    </row>
    <row r="275" spans="1:5" x14ac:dyDescent="0.25">
      <c r="A275" s="11">
        <v>45199</v>
      </c>
      <c r="B275" s="12" t="s">
        <v>1104</v>
      </c>
      <c r="C275" s="12" t="s">
        <v>1102</v>
      </c>
      <c r="D275" s="12"/>
      <c r="E275" s="13">
        <v>-60</v>
      </c>
    </row>
    <row r="276" spans="1:5" x14ac:dyDescent="0.25">
      <c r="A276" s="11">
        <v>45199</v>
      </c>
      <c r="B276" s="12" t="s">
        <v>1105</v>
      </c>
      <c r="C276" s="12" t="s">
        <v>1102</v>
      </c>
      <c r="D276" s="12"/>
      <c r="E276" s="13">
        <v>-70</v>
      </c>
    </row>
    <row r="277" spans="1:5" x14ac:dyDescent="0.25">
      <c r="A277" s="11">
        <v>45199</v>
      </c>
      <c r="B277" s="12" t="s">
        <v>1106</v>
      </c>
      <c r="C277" s="12" t="s">
        <v>1107</v>
      </c>
      <c r="D277" s="12"/>
      <c r="E277" s="13">
        <v>-2481</v>
      </c>
    </row>
    <row r="278" spans="1:5" x14ac:dyDescent="0.25">
      <c r="A278" s="11">
        <v>45199</v>
      </c>
      <c r="B278" s="12" t="s">
        <v>1108</v>
      </c>
      <c r="C278" s="12" t="s">
        <v>1107</v>
      </c>
      <c r="D278" s="12"/>
      <c r="E278" s="13">
        <v>-2020.5</v>
      </c>
    </row>
    <row r="279" spans="1:5" x14ac:dyDescent="0.25">
      <c r="A279" s="11">
        <v>45199</v>
      </c>
      <c r="B279" s="12" t="s">
        <v>1109</v>
      </c>
      <c r="C279" s="12" t="s">
        <v>1107</v>
      </c>
      <c r="D279" s="12"/>
      <c r="E279" s="13">
        <v>-2145</v>
      </c>
    </row>
    <row r="280" spans="1:5" x14ac:dyDescent="0.25">
      <c r="A280" s="11">
        <v>45199</v>
      </c>
      <c r="B280" s="12" t="s">
        <v>1110</v>
      </c>
      <c r="C280" s="12" t="s">
        <v>1107</v>
      </c>
      <c r="D280" s="12"/>
      <c r="E280" s="13">
        <v>-1024.5</v>
      </c>
    </row>
    <row r="281" spans="1:5" x14ac:dyDescent="0.25">
      <c r="A281" s="11">
        <v>45199</v>
      </c>
      <c r="B281" s="12" t="s">
        <v>1111</v>
      </c>
      <c r="C281" s="12" t="s">
        <v>1107</v>
      </c>
      <c r="D281" s="12"/>
      <c r="E281" s="13">
        <v>-907.5</v>
      </c>
    </row>
    <row r="282" spans="1:5" x14ac:dyDescent="0.25">
      <c r="A282" s="11">
        <v>45199</v>
      </c>
      <c r="B282" s="12" t="s">
        <v>1112</v>
      </c>
      <c r="C282" s="12" t="s">
        <v>1107</v>
      </c>
      <c r="D282" s="12"/>
      <c r="E282" s="13">
        <v>-1272</v>
      </c>
    </row>
    <row r="283" spans="1:5" x14ac:dyDescent="0.25">
      <c r="A283" s="11">
        <v>45199</v>
      </c>
      <c r="B283" s="12" t="s">
        <v>1113</v>
      </c>
      <c r="C283" s="12" t="s">
        <v>1107</v>
      </c>
      <c r="D283" s="12"/>
      <c r="E283" s="13">
        <v>-925.5</v>
      </c>
    </row>
    <row r="284" spans="1:5" x14ac:dyDescent="0.25">
      <c r="A284" s="11">
        <v>45199</v>
      </c>
      <c r="B284" s="12" t="s">
        <v>1114</v>
      </c>
      <c r="C284" s="12" t="s">
        <v>1107</v>
      </c>
      <c r="D284" s="12"/>
      <c r="E284" s="13">
        <v>-1084.5</v>
      </c>
    </row>
    <row r="285" spans="1:5" x14ac:dyDescent="0.25">
      <c r="A285" s="11">
        <v>45199</v>
      </c>
      <c r="B285" s="12" t="s">
        <v>1115</v>
      </c>
      <c r="C285" s="12" t="s">
        <v>1107</v>
      </c>
      <c r="D285" s="12"/>
      <c r="E285" s="13">
        <v>-292.5</v>
      </c>
    </row>
    <row r="286" spans="1:5" x14ac:dyDescent="0.25">
      <c r="A286" s="11">
        <v>45199</v>
      </c>
      <c r="B286" s="12" t="s">
        <v>1116</v>
      </c>
      <c r="C286" s="12" t="s">
        <v>1107</v>
      </c>
      <c r="D286" s="12"/>
      <c r="E286" s="13">
        <v>-274.5</v>
      </c>
    </row>
    <row r="287" spans="1:5" x14ac:dyDescent="0.25">
      <c r="A287" s="11">
        <v>45199</v>
      </c>
      <c r="B287" s="12" t="s">
        <v>1117</v>
      </c>
      <c r="C287" s="12" t="s">
        <v>1107</v>
      </c>
      <c r="D287" s="12"/>
      <c r="E287" s="13">
        <v>-382</v>
      </c>
    </row>
    <row r="288" spans="1:5" x14ac:dyDescent="0.25">
      <c r="A288" s="11">
        <v>45199</v>
      </c>
      <c r="B288" s="12" t="s">
        <v>1118</v>
      </c>
      <c r="C288" s="12" t="s">
        <v>1107</v>
      </c>
      <c r="D288" s="12"/>
      <c r="E288" s="13">
        <v>-412.5</v>
      </c>
    </row>
    <row r="289" spans="1:5" x14ac:dyDescent="0.25">
      <c r="A289" s="11">
        <v>45230</v>
      </c>
      <c r="B289" s="12" t="s">
        <v>1119</v>
      </c>
      <c r="C289" s="12" t="s">
        <v>1120</v>
      </c>
      <c r="D289" s="12"/>
      <c r="E289" s="13">
        <v>-20</v>
      </c>
    </row>
    <row r="290" spans="1:5" x14ac:dyDescent="0.25">
      <c r="A290" s="11">
        <v>45230</v>
      </c>
      <c r="B290" s="12" t="s">
        <v>1121</v>
      </c>
      <c r="C290" s="12" t="s">
        <v>1120</v>
      </c>
      <c r="D290" s="12"/>
      <c r="E290" s="13">
        <v>-180</v>
      </c>
    </row>
    <row r="291" spans="1:5" x14ac:dyDescent="0.25">
      <c r="A291" s="11">
        <v>45230</v>
      </c>
      <c r="B291" s="12" t="s">
        <v>1122</v>
      </c>
      <c r="C291" s="12" t="s">
        <v>1123</v>
      </c>
      <c r="D291" s="12"/>
      <c r="E291" s="13">
        <v>-142.5</v>
      </c>
    </row>
    <row r="292" spans="1:5" x14ac:dyDescent="0.25">
      <c r="A292" s="11">
        <v>45230</v>
      </c>
      <c r="B292" s="12" t="s">
        <v>1124</v>
      </c>
      <c r="C292" s="12" t="s">
        <v>1123</v>
      </c>
      <c r="D292" s="12"/>
      <c r="E292" s="13">
        <v>-142.5</v>
      </c>
    </row>
    <row r="293" spans="1:5" x14ac:dyDescent="0.25">
      <c r="A293" s="11">
        <v>45230</v>
      </c>
      <c r="B293" s="12" t="s">
        <v>1125</v>
      </c>
      <c r="C293" s="12" t="s">
        <v>1126</v>
      </c>
      <c r="D293" s="12"/>
      <c r="E293" s="13">
        <v>-60</v>
      </c>
    </row>
    <row r="294" spans="1:5" x14ac:dyDescent="0.25">
      <c r="A294" s="11">
        <v>45230</v>
      </c>
      <c r="B294" s="12" t="s">
        <v>1127</v>
      </c>
      <c r="C294" s="12" t="s">
        <v>1128</v>
      </c>
      <c r="D294" s="12"/>
      <c r="E294" s="13">
        <v>-1348.5</v>
      </c>
    </row>
    <row r="295" spans="1:5" x14ac:dyDescent="0.25">
      <c r="A295" s="11">
        <v>45230</v>
      </c>
      <c r="B295" s="12" t="s">
        <v>1129</v>
      </c>
      <c r="C295" s="12" t="s">
        <v>1130</v>
      </c>
      <c r="D295" s="12"/>
      <c r="E295" s="13">
        <v>-198</v>
      </c>
    </row>
    <row r="296" spans="1:5" x14ac:dyDescent="0.25">
      <c r="A296" s="11">
        <v>45230</v>
      </c>
      <c r="B296" s="12" t="s">
        <v>1131</v>
      </c>
      <c r="C296" s="12" t="s">
        <v>1132</v>
      </c>
      <c r="D296" s="12"/>
      <c r="E296" s="13">
        <v>-19.5</v>
      </c>
    </row>
    <row r="297" spans="1:5" x14ac:dyDescent="0.25">
      <c r="A297" s="11">
        <v>45230</v>
      </c>
      <c r="B297" s="12" t="s">
        <v>1133</v>
      </c>
      <c r="C297" s="12" t="s">
        <v>1134</v>
      </c>
      <c r="D297" s="12"/>
      <c r="E297" s="13">
        <v>-337.5</v>
      </c>
    </row>
    <row r="298" spans="1:5" x14ac:dyDescent="0.25">
      <c r="A298" s="11">
        <v>45230</v>
      </c>
      <c r="B298" s="12" t="s">
        <v>1135</v>
      </c>
      <c r="C298" s="12" t="s">
        <v>1136</v>
      </c>
      <c r="D298" s="12"/>
      <c r="E298" s="13">
        <v>-249</v>
      </c>
    </row>
    <row r="299" spans="1:5" x14ac:dyDescent="0.25">
      <c r="A299" s="11">
        <v>45230</v>
      </c>
      <c r="B299" s="12" t="s">
        <v>1137</v>
      </c>
      <c r="C299" s="12" t="s">
        <v>1138</v>
      </c>
      <c r="D299" s="12"/>
      <c r="E299" s="13">
        <v>-150</v>
      </c>
    </row>
    <row r="300" spans="1:5" x14ac:dyDescent="0.25">
      <c r="A300" s="11">
        <v>45230</v>
      </c>
      <c r="B300" s="12" t="s">
        <v>1139</v>
      </c>
      <c r="C300" s="12" t="s">
        <v>1138</v>
      </c>
      <c r="D300" s="12"/>
      <c r="E300" s="13">
        <v>-60</v>
      </c>
    </row>
    <row r="301" spans="1:5" x14ac:dyDescent="0.25">
      <c r="A301" s="11">
        <v>45230</v>
      </c>
      <c r="B301" s="12" t="s">
        <v>1140</v>
      </c>
      <c r="C301" s="12" t="s">
        <v>1138</v>
      </c>
      <c r="D301" s="12"/>
      <c r="E301" s="13">
        <v>-60</v>
      </c>
    </row>
    <row r="302" spans="1:5" x14ac:dyDescent="0.25">
      <c r="A302" s="11">
        <v>45230</v>
      </c>
      <c r="B302" s="12" t="s">
        <v>1141</v>
      </c>
      <c r="C302" s="12" t="s">
        <v>1138</v>
      </c>
      <c r="D302" s="12"/>
      <c r="E302" s="13">
        <v>-115</v>
      </c>
    </row>
    <row r="303" spans="1:5" x14ac:dyDescent="0.25">
      <c r="A303" s="11">
        <v>45230</v>
      </c>
      <c r="B303" s="12" t="s">
        <v>1142</v>
      </c>
      <c r="C303" s="12" t="s">
        <v>1138</v>
      </c>
      <c r="D303" s="12"/>
      <c r="E303" s="13">
        <v>-19.5</v>
      </c>
    </row>
    <row r="304" spans="1:5" x14ac:dyDescent="0.25">
      <c r="A304" s="11">
        <v>45230</v>
      </c>
      <c r="B304" s="12" t="s">
        <v>1143</v>
      </c>
      <c r="C304" s="12" t="s">
        <v>1138</v>
      </c>
      <c r="D304" s="12"/>
      <c r="E304" s="13">
        <v>-50</v>
      </c>
    </row>
    <row r="305" spans="1:5" x14ac:dyDescent="0.25">
      <c r="A305" s="11">
        <v>45230</v>
      </c>
      <c r="B305" s="12" t="s">
        <v>1144</v>
      </c>
      <c r="C305" s="12" t="s">
        <v>1145</v>
      </c>
      <c r="D305" s="12"/>
      <c r="E305" s="13">
        <v>-90</v>
      </c>
    </row>
    <row r="306" spans="1:5" x14ac:dyDescent="0.25">
      <c r="A306" s="11">
        <v>45230</v>
      </c>
      <c r="B306" s="12" t="s">
        <v>1146</v>
      </c>
      <c r="C306" s="12" t="s">
        <v>1145</v>
      </c>
      <c r="D306" s="12"/>
      <c r="E306" s="13">
        <v>-60</v>
      </c>
    </row>
    <row r="307" spans="1:5" x14ac:dyDescent="0.25">
      <c r="A307" s="11">
        <v>45230</v>
      </c>
      <c r="B307" s="12" t="s">
        <v>1147</v>
      </c>
      <c r="C307" s="12" t="s">
        <v>1145</v>
      </c>
      <c r="D307" s="12"/>
      <c r="E307" s="13">
        <v>-60</v>
      </c>
    </row>
    <row r="308" spans="1:5" x14ac:dyDescent="0.25">
      <c r="A308" s="11">
        <v>45230</v>
      </c>
      <c r="B308" s="12" t="s">
        <v>1148</v>
      </c>
      <c r="C308" s="12" t="s">
        <v>1145</v>
      </c>
      <c r="D308" s="12"/>
      <c r="E308" s="13">
        <v>-70</v>
      </c>
    </row>
    <row r="309" spans="1:5" x14ac:dyDescent="0.25">
      <c r="A309" s="11">
        <v>45230</v>
      </c>
      <c r="B309" s="12" t="s">
        <v>1149</v>
      </c>
      <c r="C309" s="12" t="s">
        <v>1145</v>
      </c>
      <c r="D309" s="12"/>
      <c r="E309" s="13">
        <v>-60</v>
      </c>
    </row>
    <row r="310" spans="1:5" x14ac:dyDescent="0.25">
      <c r="A310" s="11">
        <v>45230</v>
      </c>
      <c r="B310" s="12" t="s">
        <v>1150</v>
      </c>
      <c r="C310" s="12" t="s">
        <v>1151</v>
      </c>
      <c r="D310" s="12"/>
      <c r="E310" s="13">
        <v>-40</v>
      </c>
    </row>
    <row r="311" spans="1:5" x14ac:dyDescent="0.25">
      <c r="A311" s="11">
        <v>45230</v>
      </c>
      <c r="B311" s="12" t="s">
        <v>1152</v>
      </c>
      <c r="C311" s="12" t="s">
        <v>1153</v>
      </c>
      <c r="D311" s="12"/>
      <c r="E311" s="13">
        <v>-20</v>
      </c>
    </row>
    <row r="312" spans="1:5" x14ac:dyDescent="0.25">
      <c r="A312" s="11">
        <v>45230</v>
      </c>
      <c r="B312" s="12" t="s">
        <v>1154</v>
      </c>
      <c r="C312" s="12" t="s">
        <v>1155</v>
      </c>
      <c r="D312" s="12"/>
      <c r="E312" s="13">
        <v>-534</v>
      </c>
    </row>
    <row r="313" spans="1:5" x14ac:dyDescent="0.25">
      <c r="A313" s="11">
        <v>45230</v>
      </c>
      <c r="B313" s="12" t="s">
        <v>1156</v>
      </c>
      <c r="C313" s="12" t="s">
        <v>1155</v>
      </c>
      <c r="D313" s="12"/>
      <c r="E313" s="13">
        <v>-120</v>
      </c>
    </row>
    <row r="314" spans="1:5" x14ac:dyDescent="0.25">
      <c r="A314" s="11">
        <v>45230</v>
      </c>
      <c r="B314" s="12" t="s">
        <v>1157</v>
      </c>
      <c r="C314" s="12" t="s">
        <v>1158</v>
      </c>
      <c r="D314" s="12"/>
      <c r="E314" s="13">
        <v>-40</v>
      </c>
    </row>
    <row r="315" spans="1:5" x14ac:dyDescent="0.25">
      <c r="A315" s="11">
        <v>45230</v>
      </c>
      <c r="B315" s="12" t="s">
        <v>1159</v>
      </c>
      <c r="C315" s="12" t="s">
        <v>1158</v>
      </c>
      <c r="D315" s="12"/>
      <c r="E315" s="13">
        <v>-60</v>
      </c>
    </row>
    <row r="316" spans="1:5" x14ac:dyDescent="0.25">
      <c r="A316" s="11">
        <v>45230</v>
      </c>
      <c r="B316" s="12" t="s">
        <v>1160</v>
      </c>
      <c r="C316" s="12" t="s">
        <v>1158</v>
      </c>
      <c r="D316" s="12"/>
      <c r="E316" s="13">
        <v>-50</v>
      </c>
    </row>
    <row r="317" spans="1:5" x14ac:dyDescent="0.25">
      <c r="A317" s="11">
        <v>45230</v>
      </c>
      <c r="B317" s="12" t="s">
        <v>1161</v>
      </c>
      <c r="C317" s="12" t="s">
        <v>1158</v>
      </c>
      <c r="D317" s="12"/>
      <c r="E317" s="13">
        <v>-60</v>
      </c>
    </row>
    <row r="318" spans="1:5" x14ac:dyDescent="0.25">
      <c r="A318" s="11">
        <v>45230</v>
      </c>
      <c r="B318" s="12" t="s">
        <v>1162</v>
      </c>
      <c r="C318" s="12" t="s">
        <v>1158</v>
      </c>
      <c r="D318" s="12"/>
      <c r="E318" s="13">
        <v>-90</v>
      </c>
    </row>
    <row r="319" spans="1:5" x14ac:dyDescent="0.25">
      <c r="A319" s="11">
        <v>45260</v>
      </c>
      <c r="B319" s="12" t="s">
        <v>1163</v>
      </c>
      <c r="C319" s="12" t="s">
        <v>1164</v>
      </c>
      <c r="D319" s="12"/>
      <c r="E319" s="13">
        <v>-108</v>
      </c>
    </row>
    <row r="320" spans="1:5" x14ac:dyDescent="0.25">
      <c r="A320" s="11">
        <v>45260</v>
      </c>
      <c r="B320" s="12" t="s">
        <v>358</v>
      </c>
      <c r="C320" s="12" t="s">
        <v>1165</v>
      </c>
      <c r="D320" s="12"/>
      <c r="E320" s="13">
        <v>-110</v>
      </c>
    </row>
    <row r="321" spans="1:5" x14ac:dyDescent="0.25">
      <c r="A321" s="11">
        <v>45260</v>
      </c>
      <c r="B321" s="12" t="s">
        <v>1166</v>
      </c>
      <c r="C321" s="12" t="s">
        <v>1167</v>
      </c>
      <c r="D321" s="12"/>
      <c r="E321" s="13">
        <v>-288</v>
      </c>
    </row>
    <row r="322" spans="1:5" x14ac:dyDescent="0.25">
      <c r="A322" s="11">
        <v>45260</v>
      </c>
      <c r="B322" s="12" t="s">
        <v>1168</v>
      </c>
      <c r="C322" s="12" t="s">
        <v>1167</v>
      </c>
      <c r="D322" s="12"/>
      <c r="E322" s="13">
        <v>-840</v>
      </c>
    </row>
    <row r="323" spans="1:5" x14ac:dyDescent="0.25">
      <c r="A323" s="11">
        <v>45260</v>
      </c>
      <c r="B323" s="12" t="s">
        <v>1169</v>
      </c>
      <c r="C323" s="12" t="s">
        <v>1167</v>
      </c>
      <c r="D323" s="12"/>
      <c r="E323" s="13">
        <v>-288</v>
      </c>
    </row>
    <row r="324" spans="1:5" x14ac:dyDescent="0.25">
      <c r="A324" s="11">
        <v>45260</v>
      </c>
      <c r="B324" s="12" t="s">
        <v>1170</v>
      </c>
      <c r="C324" s="12" t="s">
        <v>1167</v>
      </c>
      <c r="D324" s="12"/>
      <c r="E324" s="13">
        <v>-2001</v>
      </c>
    </row>
    <row r="325" spans="1:5" x14ac:dyDescent="0.25">
      <c r="A325" s="11">
        <v>45260</v>
      </c>
      <c r="B325" s="12" t="s">
        <v>1171</v>
      </c>
      <c r="C325" s="12" t="s">
        <v>1172</v>
      </c>
      <c r="D325" s="12"/>
      <c r="E325" s="13">
        <v>-198</v>
      </c>
    </row>
    <row r="326" spans="1:5" x14ac:dyDescent="0.25">
      <c r="A326" s="11">
        <v>45260</v>
      </c>
      <c r="B326" s="12" t="s">
        <v>1173</v>
      </c>
      <c r="C326" s="12" t="s">
        <v>1174</v>
      </c>
      <c r="D326" s="12"/>
      <c r="E326" s="13">
        <v>-114</v>
      </c>
    </row>
    <row r="327" spans="1:5" x14ac:dyDescent="0.25">
      <c r="A327" s="11">
        <v>45260</v>
      </c>
      <c r="B327" s="12" t="s">
        <v>323</v>
      </c>
      <c r="C327" s="12" t="s">
        <v>1175</v>
      </c>
      <c r="D327" s="12"/>
      <c r="E327" s="13">
        <v>-150</v>
      </c>
    </row>
    <row r="328" spans="1:5" x14ac:dyDescent="0.25">
      <c r="A328" s="11">
        <v>45260</v>
      </c>
      <c r="B328" s="12" t="s">
        <v>321</v>
      </c>
      <c r="C328" s="12" t="s">
        <v>1175</v>
      </c>
      <c r="D328" s="12"/>
      <c r="E328" s="13">
        <v>-90</v>
      </c>
    </row>
    <row r="329" spans="1:5" x14ac:dyDescent="0.25">
      <c r="A329" s="11">
        <v>45260</v>
      </c>
      <c r="B329" s="12" t="s">
        <v>322</v>
      </c>
      <c r="C329" s="12" t="s">
        <v>1175</v>
      </c>
      <c r="D329" s="12"/>
      <c r="E329" s="13">
        <v>-130</v>
      </c>
    </row>
    <row r="330" spans="1:5" x14ac:dyDescent="0.25">
      <c r="A330" s="11">
        <v>45260</v>
      </c>
      <c r="B330" s="12" t="s">
        <v>319</v>
      </c>
      <c r="C330" s="12" t="s">
        <v>1175</v>
      </c>
      <c r="D330" s="12"/>
      <c r="E330" s="13">
        <v>-60</v>
      </c>
    </row>
    <row r="331" spans="1:5" x14ac:dyDescent="0.25">
      <c r="A331" s="11">
        <v>45260</v>
      </c>
      <c r="B331" s="12" t="s">
        <v>1176</v>
      </c>
      <c r="C331" s="12" t="s">
        <v>1175</v>
      </c>
      <c r="D331" s="12"/>
      <c r="E331" s="13">
        <v>-20</v>
      </c>
    </row>
    <row r="332" spans="1:5" x14ac:dyDescent="0.25">
      <c r="A332" s="11">
        <v>45260</v>
      </c>
      <c r="B332" s="12" t="s">
        <v>1177</v>
      </c>
      <c r="C332" s="12" t="s">
        <v>1175</v>
      </c>
      <c r="D332" s="12"/>
      <c r="E332" s="13">
        <v>-40</v>
      </c>
    </row>
    <row r="333" spans="1:5" x14ac:dyDescent="0.25">
      <c r="A333" s="11">
        <v>45260</v>
      </c>
      <c r="B333" s="12" t="s">
        <v>1178</v>
      </c>
      <c r="C333" s="12" t="s">
        <v>1179</v>
      </c>
      <c r="D333" s="12"/>
      <c r="E333" s="13">
        <v>-90</v>
      </c>
    </row>
    <row r="334" spans="1:5" x14ac:dyDescent="0.25">
      <c r="A334" s="11">
        <v>45260</v>
      </c>
      <c r="B334" s="12" t="s">
        <v>384</v>
      </c>
      <c r="C334" s="12" t="s">
        <v>1179</v>
      </c>
      <c r="D334" s="12"/>
      <c r="E334" s="13">
        <v>-60</v>
      </c>
    </row>
    <row r="335" spans="1:5" x14ac:dyDescent="0.25">
      <c r="A335" s="11">
        <v>45260</v>
      </c>
      <c r="B335" s="12" t="s">
        <v>388</v>
      </c>
      <c r="C335" s="12" t="s">
        <v>1179</v>
      </c>
      <c r="D335" s="12"/>
      <c r="E335" s="13">
        <v>-150</v>
      </c>
    </row>
    <row r="336" spans="1:5" x14ac:dyDescent="0.25">
      <c r="A336" s="11">
        <v>45260</v>
      </c>
      <c r="B336" s="12" t="s">
        <v>387</v>
      </c>
      <c r="C336" s="12" t="s">
        <v>1179</v>
      </c>
      <c r="D336" s="12"/>
      <c r="E336" s="13">
        <v>-60</v>
      </c>
    </row>
    <row r="337" spans="1:5" x14ac:dyDescent="0.25">
      <c r="A337" s="11">
        <v>45260</v>
      </c>
      <c r="B337" s="12" t="s">
        <v>386</v>
      </c>
      <c r="C337" s="12" t="s">
        <v>1179</v>
      </c>
      <c r="D337" s="12"/>
      <c r="E337" s="13">
        <v>-135</v>
      </c>
    </row>
    <row r="338" spans="1:5" x14ac:dyDescent="0.25">
      <c r="A338" s="11">
        <v>45260</v>
      </c>
      <c r="B338" s="12" t="s">
        <v>1180</v>
      </c>
      <c r="C338" s="12" t="s">
        <v>1181</v>
      </c>
      <c r="D338" s="12"/>
      <c r="E338" s="13">
        <v>-25</v>
      </c>
    </row>
    <row r="339" spans="1:5" x14ac:dyDescent="0.25">
      <c r="A339" s="11">
        <v>45260</v>
      </c>
      <c r="B339" s="12" t="s">
        <v>1182</v>
      </c>
      <c r="C339" s="12" t="s">
        <v>1181</v>
      </c>
      <c r="D339" s="12"/>
      <c r="E339" s="13">
        <v>-40</v>
      </c>
    </row>
    <row r="340" spans="1:5" x14ac:dyDescent="0.25">
      <c r="A340" s="11">
        <v>45291</v>
      </c>
      <c r="B340" s="12" t="s">
        <v>344</v>
      </c>
      <c r="C340" s="12" t="s">
        <v>1183</v>
      </c>
      <c r="D340" s="12"/>
      <c r="E340" s="13">
        <v>-60</v>
      </c>
    </row>
    <row r="341" spans="1:5" x14ac:dyDescent="0.25">
      <c r="A341" s="11">
        <v>45291</v>
      </c>
      <c r="B341" s="12" t="s">
        <v>342</v>
      </c>
      <c r="C341" s="12" t="s">
        <v>1183</v>
      </c>
      <c r="D341" s="12"/>
      <c r="E341" s="13">
        <v>-35</v>
      </c>
    </row>
    <row r="342" spans="1:5" x14ac:dyDescent="0.25">
      <c r="A342" s="11">
        <v>45291</v>
      </c>
      <c r="B342" s="12" t="s">
        <v>346</v>
      </c>
      <c r="C342" s="12" t="s">
        <v>1183</v>
      </c>
      <c r="D342" s="12"/>
      <c r="E342" s="13">
        <v>-150</v>
      </c>
    </row>
    <row r="343" spans="1:5" x14ac:dyDescent="0.25">
      <c r="A343" s="11">
        <v>45291</v>
      </c>
      <c r="B343" s="12" t="s">
        <v>1184</v>
      </c>
      <c r="C343" s="12" t="s">
        <v>1183</v>
      </c>
      <c r="D343" s="12"/>
      <c r="E343" s="13">
        <v>-150</v>
      </c>
    </row>
    <row r="344" spans="1:5" x14ac:dyDescent="0.25">
      <c r="A344" s="11">
        <v>45291</v>
      </c>
      <c r="B344" s="12" t="s">
        <v>1185</v>
      </c>
      <c r="C344" s="12" t="s">
        <v>1183</v>
      </c>
      <c r="D344" s="12"/>
      <c r="E344" s="13">
        <v>-60</v>
      </c>
    </row>
    <row r="345" spans="1:5" x14ac:dyDescent="0.25">
      <c r="A345" s="11">
        <v>45291</v>
      </c>
      <c r="B345" s="12" t="s">
        <v>339</v>
      </c>
      <c r="C345" s="12" t="s">
        <v>1183</v>
      </c>
      <c r="D345" s="12"/>
      <c r="E345" s="13">
        <v>-90</v>
      </c>
    </row>
    <row r="346" spans="1:5" x14ac:dyDescent="0.25">
      <c r="A346" s="11">
        <v>45291</v>
      </c>
      <c r="B346" s="12" t="s">
        <v>337</v>
      </c>
      <c r="C346" s="12" t="s">
        <v>1183</v>
      </c>
      <c r="D346" s="12"/>
      <c r="E346" s="13">
        <v>-60</v>
      </c>
    </row>
    <row r="347" spans="1:5" x14ac:dyDescent="0.25">
      <c r="A347" s="11">
        <v>45291</v>
      </c>
      <c r="B347" s="12" t="s">
        <v>341</v>
      </c>
      <c r="C347" s="12" t="s">
        <v>1183</v>
      </c>
      <c r="D347" s="12"/>
      <c r="E347" s="13">
        <v>-90</v>
      </c>
    </row>
    <row r="348" spans="1:5" x14ac:dyDescent="0.25">
      <c r="A348" s="11">
        <v>45291</v>
      </c>
      <c r="B348" s="12" t="s">
        <v>1186</v>
      </c>
      <c r="C348" s="12" t="s">
        <v>1183</v>
      </c>
      <c r="D348" s="12"/>
      <c r="E348" s="13">
        <v>-60</v>
      </c>
    </row>
    <row r="349" spans="1:5" x14ac:dyDescent="0.25">
      <c r="A349" s="11">
        <v>45291</v>
      </c>
      <c r="B349" s="12" t="s">
        <v>1187</v>
      </c>
      <c r="C349" s="12" t="s">
        <v>1183</v>
      </c>
      <c r="D349" s="12"/>
      <c r="E349" s="13">
        <v>-60</v>
      </c>
    </row>
    <row r="350" spans="1:5" x14ac:dyDescent="0.25">
      <c r="A350" s="11">
        <v>45291</v>
      </c>
      <c r="B350" s="12" t="s">
        <v>1188</v>
      </c>
      <c r="C350" s="12" t="s">
        <v>1183</v>
      </c>
      <c r="D350" s="12"/>
      <c r="E350" s="13">
        <v>-90</v>
      </c>
    </row>
    <row r="351" spans="1:5" x14ac:dyDescent="0.25">
      <c r="A351" s="11">
        <v>45291</v>
      </c>
      <c r="B351" s="12" t="s">
        <v>1189</v>
      </c>
      <c r="C351" s="12" t="s">
        <v>1183</v>
      </c>
      <c r="D351" s="12"/>
      <c r="E351" s="13">
        <v>-60</v>
      </c>
    </row>
    <row r="352" spans="1:5" x14ac:dyDescent="0.25">
      <c r="A352" s="11">
        <v>45291</v>
      </c>
      <c r="B352" s="12" t="s">
        <v>1190</v>
      </c>
      <c r="C352" s="12" t="s">
        <v>1183</v>
      </c>
      <c r="D352" s="12"/>
      <c r="E352" s="13">
        <v>-150</v>
      </c>
    </row>
    <row r="353" spans="1:5" x14ac:dyDescent="0.25">
      <c r="A353" s="11">
        <v>45291</v>
      </c>
      <c r="B353" s="12" t="s">
        <v>1191</v>
      </c>
      <c r="C353" s="12" t="s">
        <v>1183</v>
      </c>
      <c r="D353" s="12"/>
      <c r="E353" s="13">
        <v>-60</v>
      </c>
    </row>
    <row r="354" spans="1:5" x14ac:dyDescent="0.25">
      <c r="A354" s="11">
        <v>45291</v>
      </c>
      <c r="B354" s="12" t="s">
        <v>1192</v>
      </c>
      <c r="C354" s="12" t="s">
        <v>1183</v>
      </c>
      <c r="D354" s="12"/>
      <c r="E354" s="13">
        <v>-90</v>
      </c>
    </row>
    <row r="355" spans="1:5" x14ac:dyDescent="0.25">
      <c r="A355" s="11">
        <v>45291</v>
      </c>
      <c r="B355" s="12" t="s">
        <v>1193</v>
      </c>
      <c r="C355" s="12" t="s">
        <v>1183</v>
      </c>
      <c r="D355" s="12"/>
      <c r="E355" s="13">
        <v>-60</v>
      </c>
    </row>
    <row r="356" spans="1:5" x14ac:dyDescent="0.25">
      <c r="A356" s="11">
        <v>45291</v>
      </c>
      <c r="B356" s="12" t="s">
        <v>1194</v>
      </c>
      <c r="C356" s="12" t="s">
        <v>1183</v>
      </c>
      <c r="D356" s="12"/>
      <c r="E356" s="13">
        <v>-150</v>
      </c>
    </row>
    <row r="357" spans="1:5" x14ac:dyDescent="0.25">
      <c r="A357" s="11">
        <v>45291</v>
      </c>
      <c r="B357" s="12" t="s">
        <v>1195</v>
      </c>
      <c r="C357" s="12" t="s">
        <v>1183</v>
      </c>
      <c r="D357" s="12"/>
      <c r="E357" s="13">
        <v>-60</v>
      </c>
    </row>
    <row r="358" spans="1:5" x14ac:dyDescent="0.25">
      <c r="A358" s="11">
        <v>45291</v>
      </c>
      <c r="B358" s="12" t="s">
        <v>1196</v>
      </c>
      <c r="C358" s="12" t="s">
        <v>1183</v>
      </c>
      <c r="D358" s="12"/>
      <c r="E358" s="13">
        <v>-120</v>
      </c>
    </row>
    <row r="359" spans="1:5" x14ac:dyDescent="0.25">
      <c r="A359" s="11">
        <v>45291</v>
      </c>
      <c r="B359" s="12" t="s">
        <v>1197</v>
      </c>
      <c r="C359" s="12" t="s">
        <v>1183</v>
      </c>
      <c r="D359" s="12"/>
      <c r="E359" s="13">
        <v>-85</v>
      </c>
    </row>
    <row r="360" spans="1:5" x14ac:dyDescent="0.25">
      <c r="A360" s="11">
        <v>45291</v>
      </c>
      <c r="B360" s="12" t="s">
        <v>1198</v>
      </c>
      <c r="C360" s="12" t="s">
        <v>1183</v>
      </c>
      <c r="D360" s="12"/>
      <c r="E360" s="13">
        <v>-240</v>
      </c>
    </row>
    <row r="361" spans="1:5" x14ac:dyDescent="0.25">
      <c r="A361" s="11">
        <v>45291</v>
      </c>
      <c r="B361" s="12" t="s">
        <v>1199</v>
      </c>
      <c r="C361" s="12" t="s">
        <v>1200</v>
      </c>
      <c r="D361" s="12"/>
      <c r="E361" s="13">
        <v>-90</v>
      </c>
    </row>
    <row r="362" spans="1:5" x14ac:dyDescent="0.25">
      <c r="A362" s="11">
        <v>45291</v>
      </c>
      <c r="B362" s="12" t="s">
        <v>1201</v>
      </c>
      <c r="C362" s="12" t="s">
        <v>1202</v>
      </c>
      <c r="D362" s="12"/>
      <c r="E362" s="13">
        <v>-40</v>
      </c>
    </row>
    <row r="363" spans="1:5" x14ac:dyDescent="0.25">
      <c r="A363" s="11">
        <v>45291</v>
      </c>
      <c r="B363" s="12" t="s">
        <v>239</v>
      </c>
      <c r="C363" s="12" t="s">
        <v>1203</v>
      </c>
      <c r="D363" s="12"/>
      <c r="E363" s="13">
        <v>-35</v>
      </c>
    </row>
    <row r="364" spans="1:5" x14ac:dyDescent="0.25">
      <c r="A364" s="11">
        <v>45291</v>
      </c>
      <c r="B364" s="12" t="s">
        <v>1204</v>
      </c>
      <c r="C364" s="12" t="s">
        <v>1205</v>
      </c>
      <c r="D364" s="12"/>
      <c r="E364" s="13">
        <v>-30</v>
      </c>
    </row>
    <row r="365" spans="1:5" x14ac:dyDescent="0.25">
      <c r="A365" s="11">
        <v>45291</v>
      </c>
      <c r="B365" s="12" t="s">
        <v>1206</v>
      </c>
      <c r="C365" s="12" t="s">
        <v>1207</v>
      </c>
      <c r="D365" s="12"/>
      <c r="E365" s="13">
        <v>-601</v>
      </c>
    </row>
    <row r="366" spans="1:5" x14ac:dyDescent="0.25">
      <c r="A366" s="11">
        <v>45291</v>
      </c>
      <c r="B366" s="12" t="s">
        <v>1208</v>
      </c>
      <c r="C366" s="12" t="s">
        <v>1209</v>
      </c>
      <c r="D366" s="12"/>
      <c r="E366" s="13">
        <v>-120</v>
      </c>
    </row>
    <row r="367" spans="1:5" x14ac:dyDescent="0.25">
      <c r="A367" s="11">
        <v>45291</v>
      </c>
      <c r="B367" s="12" t="s">
        <v>1210</v>
      </c>
      <c r="C367" s="12" t="s">
        <v>1209</v>
      </c>
      <c r="D367" s="12"/>
      <c r="E367" s="13">
        <v>-15</v>
      </c>
    </row>
    <row r="368" spans="1:5" x14ac:dyDescent="0.25">
      <c r="A368" s="11">
        <v>45291</v>
      </c>
      <c r="B368" s="12" t="s">
        <v>1211</v>
      </c>
      <c r="C368" s="12" t="s">
        <v>1212</v>
      </c>
      <c r="D368" s="12"/>
      <c r="E368" s="13">
        <v>-180</v>
      </c>
    </row>
    <row r="369" spans="1:5" x14ac:dyDescent="0.25">
      <c r="A369" s="11">
        <v>45291</v>
      </c>
      <c r="B369" s="12" t="s">
        <v>1213</v>
      </c>
      <c r="C369" s="12" t="s">
        <v>1155</v>
      </c>
      <c r="D369" s="12"/>
      <c r="E369" s="13">
        <v>-60</v>
      </c>
    </row>
    <row r="370" spans="1:5" x14ac:dyDescent="0.25">
      <c r="A370" s="11">
        <v>45291</v>
      </c>
      <c r="B370" s="12" t="s">
        <v>1214</v>
      </c>
      <c r="C370" s="12" t="s">
        <v>1215</v>
      </c>
      <c r="D370" s="12"/>
      <c r="E370" s="13">
        <v>-315</v>
      </c>
    </row>
    <row r="371" spans="1:5" x14ac:dyDescent="0.25">
      <c r="A371" s="11">
        <v>45322</v>
      </c>
      <c r="B371" s="12" t="s">
        <v>1216</v>
      </c>
      <c r="C371" s="12" t="s">
        <v>1217</v>
      </c>
      <c r="D371" s="12"/>
      <c r="E371" s="13">
        <v>-965.5</v>
      </c>
    </row>
    <row r="372" spans="1:5" x14ac:dyDescent="0.25">
      <c r="A372" s="11">
        <v>45322</v>
      </c>
      <c r="B372" s="12" t="s">
        <v>351</v>
      </c>
      <c r="C372" s="12" t="s">
        <v>1175</v>
      </c>
      <c r="D372" s="12"/>
      <c r="E372" s="13">
        <v>-150</v>
      </c>
    </row>
    <row r="373" spans="1:5" x14ac:dyDescent="0.25">
      <c r="A373" s="11">
        <v>45322</v>
      </c>
      <c r="B373" s="12" t="s">
        <v>350</v>
      </c>
      <c r="C373" s="12" t="s">
        <v>1175</v>
      </c>
      <c r="D373" s="12"/>
      <c r="E373" s="13">
        <v>-60</v>
      </c>
    </row>
    <row r="374" spans="1:5" x14ac:dyDescent="0.25">
      <c r="A374" s="11">
        <v>45322</v>
      </c>
      <c r="B374" s="12" t="s">
        <v>349</v>
      </c>
      <c r="C374" s="12" t="s">
        <v>1175</v>
      </c>
      <c r="D374" s="12"/>
      <c r="E374" s="13">
        <v>-60</v>
      </c>
    </row>
    <row r="375" spans="1:5" x14ac:dyDescent="0.25">
      <c r="A375" s="11">
        <v>45322</v>
      </c>
      <c r="B375" s="12" t="s">
        <v>308</v>
      </c>
      <c r="C375" s="12" t="s">
        <v>1175</v>
      </c>
      <c r="D375" s="12"/>
      <c r="E375" s="13">
        <v>-90</v>
      </c>
    </row>
    <row r="376" spans="1:5" x14ac:dyDescent="0.25">
      <c r="A376" s="11">
        <v>45322</v>
      </c>
      <c r="B376" s="12" t="s">
        <v>1218</v>
      </c>
      <c r="C376" s="12" t="s">
        <v>1219</v>
      </c>
      <c r="D376" s="12"/>
      <c r="E376" s="13">
        <v>-103.5</v>
      </c>
    </row>
    <row r="377" spans="1:5" x14ac:dyDescent="0.25">
      <c r="A377" s="11">
        <v>45322</v>
      </c>
      <c r="B377" s="12" t="s">
        <v>1220</v>
      </c>
      <c r="C377" s="12" t="s">
        <v>1174</v>
      </c>
      <c r="D377" s="12"/>
      <c r="E377" s="13">
        <v>-163.5</v>
      </c>
    </row>
    <row r="378" spans="1:5" x14ac:dyDescent="0.25">
      <c r="A378" s="11">
        <v>45329</v>
      </c>
      <c r="B378" s="12" t="s">
        <v>1221</v>
      </c>
      <c r="C378" s="12" t="s">
        <v>1078</v>
      </c>
      <c r="D378" s="12"/>
      <c r="E378" s="13">
        <v>-40</v>
      </c>
    </row>
    <row r="379" spans="1:5" x14ac:dyDescent="0.25">
      <c r="A379" s="11">
        <v>45351</v>
      </c>
      <c r="B379" s="12" t="s">
        <v>1222</v>
      </c>
      <c r="C379" s="12" t="s">
        <v>1223</v>
      </c>
      <c r="D379" s="12"/>
      <c r="E379" s="13">
        <v>-150</v>
      </c>
    </row>
    <row r="380" spans="1:5" x14ac:dyDescent="0.25">
      <c r="A380" s="11">
        <v>45351</v>
      </c>
      <c r="B380" s="12" t="s">
        <v>1224</v>
      </c>
      <c r="C380" s="12" t="s">
        <v>1223</v>
      </c>
      <c r="D380" s="12"/>
      <c r="E380" s="13">
        <v>-70</v>
      </c>
    </row>
    <row r="381" spans="1:5" x14ac:dyDescent="0.25">
      <c r="A381" s="11">
        <v>45351</v>
      </c>
      <c r="B381" s="12" t="s">
        <v>1225</v>
      </c>
      <c r="C381" s="12" t="s">
        <v>1223</v>
      </c>
      <c r="D381" s="12"/>
      <c r="E381" s="13">
        <v>-60</v>
      </c>
    </row>
    <row r="382" spans="1:5" x14ac:dyDescent="0.25">
      <c r="A382" s="11">
        <v>45382</v>
      </c>
      <c r="B382" s="12" t="s">
        <v>1226</v>
      </c>
      <c r="C382" s="12" t="s">
        <v>1227</v>
      </c>
      <c r="D382" s="12"/>
      <c r="E382" s="13">
        <v>-70</v>
      </c>
    </row>
    <row r="383" spans="1:5" x14ac:dyDescent="0.25">
      <c r="A383" s="11">
        <v>45382</v>
      </c>
      <c r="B383" s="12" t="s">
        <v>1228</v>
      </c>
      <c r="C383" s="12" t="s">
        <v>1227</v>
      </c>
      <c r="D383" s="12"/>
      <c r="E383" s="13">
        <v>-40</v>
      </c>
    </row>
    <row r="384" spans="1:5" x14ac:dyDescent="0.25">
      <c r="A384" s="11">
        <v>45382</v>
      </c>
      <c r="B384" s="12" t="s">
        <v>1229</v>
      </c>
      <c r="C384" s="12" t="s">
        <v>1230</v>
      </c>
      <c r="D384" s="12"/>
      <c r="E384" s="13">
        <v>-252</v>
      </c>
    </row>
    <row r="385" spans="1:5" x14ac:dyDescent="0.25">
      <c r="A385" s="11">
        <v>45382</v>
      </c>
      <c r="B385" s="12" t="s">
        <v>1231</v>
      </c>
      <c r="C385" s="12" t="s">
        <v>1230</v>
      </c>
      <c r="D385" s="12"/>
      <c r="E385" s="13">
        <v>-118.5</v>
      </c>
    </row>
    <row r="386" spans="1:5" x14ac:dyDescent="0.25">
      <c r="A386" s="11">
        <v>45412</v>
      </c>
      <c r="B386" s="12" t="s">
        <v>1232</v>
      </c>
      <c r="C386" s="12" t="s">
        <v>1233</v>
      </c>
      <c r="D386" s="12"/>
      <c r="E386" s="13">
        <v>-60</v>
      </c>
    </row>
    <row r="387" spans="1:5" x14ac:dyDescent="0.25">
      <c r="A387" s="11">
        <v>45412</v>
      </c>
      <c r="B387" s="12" t="s">
        <v>1234</v>
      </c>
      <c r="C387" s="12" t="s">
        <v>1233</v>
      </c>
      <c r="D387" s="12"/>
      <c r="E387" s="13">
        <v>-150</v>
      </c>
    </row>
    <row r="388" spans="1:5" x14ac:dyDescent="0.25">
      <c r="A388" s="11">
        <v>45412</v>
      </c>
      <c r="B388" s="12" t="s">
        <v>1235</v>
      </c>
      <c r="C388" s="12" t="s">
        <v>1233</v>
      </c>
      <c r="D388" s="12"/>
      <c r="E388" s="13">
        <v>-150</v>
      </c>
    </row>
    <row r="389" spans="1:5" x14ac:dyDescent="0.25">
      <c r="A389" s="11">
        <v>45412</v>
      </c>
      <c r="B389" s="12" t="s">
        <v>1236</v>
      </c>
      <c r="C389" s="12" t="s">
        <v>1233</v>
      </c>
      <c r="D389" s="12"/>
      <c r="E389" s="13">
        <v>-60</v>
      </c>
    </row>
    <row r="390" spans="1:5" x14ac:dyDescent="0.25">
      <c r="A390" s="11">
        <v>45412</v>
      </c>
      <c r="B390" s="12" t="s">
        <v>1237</v>
      </c>
      <c r="C390" s="12" t="s">
        <v>1233</v>
      </c>
      <c r="D390" s="12"/>
      <c r="E390" s="13">
        <v>-35</v>
      </c>
    </row>
    <row r="391" spans="1:5" x14ac:dyDescent="0.25">
      <c r="A391" s="11">
        <v>45412</v>
      </c>
      <c r="B391" s="12" t="s">
        <v>1238</v>
      </c>
      <c r="C391" s="12" t="s">
        <v>1233</v>
      </c>
      <c r="D391" s="12"/>
      <c r="E391" s="13">
        <v>-60</v>
      </c>
    </row>
    <row r="392" spans="1:5" x14ac:dyDescent="0.25">
      <c r="A392" s="11">
        <v>45412</v>
      </c>
      <c r="B392" s="12" t="s">
        <v>1239</v>
      </c>
      <c r="C392" s="12" t="s">
        <v>1233</v>
      </c>
      <c r="D392" s="12"/>
      <c r="E392" s="13">
        <v>-70</v>
      </c>
    </row>
    <row r="393" spans="1:5" x14ac:dyDescent="0.25">
      <c r="A393" s="11">
        <v>45412</v>
      </c>
      <c r="B393" s="12" t="s">
        <v>1240</v>
      </c>
      <c r="C393" s="12" t="s">
        <v>1233</v>
      </c>
      <c r="D393" s="12"/>
      <c r="E393" s="13">
        <v>-35</v>
      </c>
    </row>
    <row r="394" spans="1:5" x14ac:dyDescent="0.25">
      <c r="A394" s="11">
        <v>45412</v>
      </c>
      <c r="B394" s="12" t="s">
        <v>1241</v>
      </c>
      <c r="C394" s="12" t="s">
        <v>1233</v>
      </c>
      <c r="D394" s="12"/>
      <c r="E394" s="13">
        <v>-60</v>
      </c>
    </row>
    <row r="395" spans="1:5" x14ac:dyDescent="0.25">
      <c r="A395" s="11">
        <v>45412</v>
      </c>
      <c r="B395" s="12" t="s">
        <v>1242</v>
      </c>
      <c r="C395" s="12" t="s">
        <v>1233</v>
      </c>
      <c r="D395" s="12"/>
      <c r="E395" s="13">
        <v>-150</v>
      </c>
    </row>
    <row r="396" spans="1:5" x14ac:dyDescent="0.25">
      <c r="A396" s="11">
        <v>45412</v>
      </c>
      <c r="B396" s="12" t="s">
        <v>1243</v>
      </c>
      <c r="C396" s="12" t="s">
        <v>1244</v>
      </c>
      <c r="D396" s="12"/>
      <c r="E396" s="13">
        <v>-2128</v>
      </c>
    </row>
    <row r="397" spans="1:5" x14ac:dyDescent="0.25">
      <c r="A397" s="11">
        <v>45412</v>
      </c>
      <c r="B397" s="12" t="s">
        <v>1245</v>
      </c>
      <c r="C397" s="12" t="s">
        <v>1233</v>
      </c>
      <c r="D397" s="12"/>
      <c r="E397" s="13">
        <v>-300</v>
      </c>
    </row>
    <row r="398" spans="1:5" x14ac:dyDescent="0.25">
      <c r="A398" s="11">
        <v>45412</v>
      </c>
      <c r="B398" s="12" t="s">
        <v>1246</v>
      </c>
      <c r="C398" s="12" t="s">
        <v>1233</v>
      </c>
      <c r="D398" s="12"/>
      <c r="E398" s="13">
        <v>-60</v>
      </c>
    </row>
    <row r="399" spans="1:5" x14ac:dyDescent="0.25">
      <c r="A399" s="11">
        <v>45412</v>
      </c>
      <c r="B399" s="12" t="s">
        <v>1247</v>
      </c>
      <c r="C399" s="12" t="s">
        <v>1233</v>
      </c>
      <c r="D399" s="12"/>
      <c r="E399" s="13">
        <v>-85</v>
      </c>
    </row>
    <row r="400" spans="1:5" x14ac:dyDescent="0.25">
      <c r="A400" s="11">
        <v>45412</v>
      </c>
      <c r="B400" s="12" t="s">
        <v>1248</v>
      </c>
      <c r="C400" s="12" t="s">
        <v>1233</v>
      </c>
      <c r="D400" s="12"/>
      <c r="E400" s="13">
        <v>-70</v>
      </c>
    </row>
    <row r="401" spans="1:5" x14ac:dyDescent="0.25">
      <c r="A401" s="11">
        <v>45412</v>
      </c>
      <c r="B401" s="12" t="s">
        <v>1249</v>
      </c>
      <c r="C401" s="12" t="s">
        <v>1233</v>
      </c>
      <c r="D401" s="12"/>
      <c r="E401" s="13">
        <v>-60</v>
      </c>
    </row>
    <row r="402" spans="1:5" x14ac:dyDescent="0.25">
      <c r="A402" s="11">
        <v>45412</v>
      </c>
      <c r="B402" s="12" t="s">
        <v>1250</v>
      </c>
      <c r="C402" s="12" t="s">
        <v>1233</v>
      </c>
      <c r="D402" s="12"/>
      <c r="E402" s="13">
        <v>-40</v>
      </c>
    </row>
    <row r="403" spans="1:5" x14ac:dyDescent="0.25">
      <c r="A403" s="11">
        <v>45412</v>
      </c>
      <c r="B403" s="12" t="s">
        <v>1251</v>
      </c>
      <c r="C403" s="12" t="s">
        <v>1233</v>
      </c>
      <c r="D403" s="12"/>
      <c r="E403" s="13">
        <v>-60</v>
      </c>
    </row>
    <row r="404" spans="1:5" x14ac:dyDescent="0.25">
      <c r="A404" s="11">
        <v>45412</v>
      </c>
      <c r="B404" s="12" t="s">
        <v>1252</v>
      </c>
      <c r="C404" s="12" t="s">
        <v>1233</v>
      </c>
      <c r="D404" s="12"/>
      <c r="E404" s="13">
        <v>-40</v>
      </c>
    </row>
    <row r="405" spans="1:5" x14ac:dyDescent="0.25">
      <c r="A405" s="11">
        <v>45412</v>
      </c>
      <c r="B405" s="12" t="s">
        <v>1253</v>
      </c>
      <c r="C405" s="12" t="s">
        <v>1233</v>
      </c>
      <c r="D405" s="12"/>
      <c r="E405" s="13">
        <v>-60</v>
      </c>
    </row>
    <row r="406" spans="1:5" x14ac:dyDescent="0.25">
      <c r="A406" s="11">
        <v>45412</v>
      </c>
      <c r="B406" s="12" t="s">
        <v>1254</v>
      </c>
      <c r="C406" s="12" t="s">
        <v>1233</v>
      </c>
      <c r="D406" s="12"/>
      <c r="E406" s="13">
        <v>-150</v>
      </c>
    </row>
    <row r="407" spans="1:5" x14ac:dyDescent="0.25">
      <c r="A407" s="11">
        <v>45412</v>
      </c>
      <c r="B407" s="12" t="s">
        <v>1255</v>
      </c>
      <c r="C407" s="12" t="s">
        <v>1256</v>
      </c>
      <c r="D407" s="12"/>
      <c r="E407" s="13">
        <v>-60</v>
      </c>
    </row>
    <row r="408" spans="1:5" x14ac:dyDescent="0.25">
      <c r="A408" s="11">
        <v>45412</v>
      </c>
      <c r="B408" s="12" t="s">
        <v>1257</v>
      </c>
      <c r="C408" s="12" t="s">
        <v>1258</v>
      </c>
      <c r="D408" s="12"/>
      <c r="E408" s="13">
        <v>-75</v>
      </c>
    </row>
    <row r="409" spans="1:5" x14ac:dyDescent="0.25">
      <c r="A409" s="11">
        <v>45412</v>
      </c>
      <c r="B409" s="12" t="s">
        <v>1259</v>
      </c>
      <c r="C409" s="12" t="s">
        <v>1258</v>
      </c>
      <c r="D409" s="12"/>
      <c r="E409" s="13">
        <v>-60</v>
      </c>
    </row>
    <row r="410" spans="1:5" x14ac:dyDescent="0.25">
      <c r="A410" s="11">
        <v>45412</v>
      </c>
      <c r="B410" s="12" t="s">
        <v>1260</v>
      </c>
      <c r="C410" s="12" t="s">
        <v>1258</v>
      </c>
      <c r="D410" s="12"/>
      <c r="E410" s="13">
        <v>-163.5</v>
      </c>
    </row>
    <row r="411" spans="1:5" x14ac:dyDescent="0.25">
      <c r="A411" s="11">
        <v>45412</v>
      </c>
      <c r="B411" s="12" t="s">
        <v>1261</v>
      </c>
      <c r="C411" s="12" t="s">
        <v>1258</v>
      </c>
      <c r="D411" s="12"/>
      <c r="E411" s="13">
        <v>-207</v>
      </c>
    </row>
    <row r="412" spans="1:5" x14ac:dyDescent="0.25">
      <c r="A412" s="11">
        <v>45412</v>
      </c>
      <c r="B412" s="12" t="s">
        <v>1262</v>
      </c>
      <c r="C412" s="12" t="s">
        <v>1258</v>
      </c>
      <c r="D412" s="12"/>
      <c r="E412" s="13">
        <v>-60</v>
      </c>
    </row>
    <row r="413" spans="1:5" x14ac:dyDescent="0.25">
      <c r="A413" s="11">
        <v>45412</v>
      </c>
      <c r="B413" s="12" t="s">
        <v>1263</v>
      </c>
      <c r="C413" s="12" t="s">
        <v>1258</v>
      </c>
      <c r="D413" s="12"/>
      <c r="E413" s="13">
        <v>-75</v>
      </c>
    </row>
    <row r="414" spans="1:5" x14ac:dyDescent="0.25">
      <c r="A414" s="11">
        <v>45412</v>
      </c>
      <c r="B414" s="12" t="s">
        <v>1264</v>
      </c>
      <c r="C414" s="12" t="s">
        <v>1258</v>
      </c>
      <c r="D414" s="12"/>
      <c r="E414" s="13">
        <v>-60</v>
      </c>
    </row>
    <row r="415" spans="1:5" x14ac:dyDescent="0.25">
      <c r="A415" s="11">
        <v>45443</v>
      </c>
      <c r="B415" s="12" t="s">
        <v>1265</v>
      </c>
      <c r="C415" s="12" t="s">
        <v>1266</v>
      </c>
      <c r="D415" s="12"/>
      <c r="E415" s="13">
        <v>-829</v>
      </c>
    </row>
    <row r="416" spans="1:5" x14ac:dyDescent="0.25">
      <c r="A416" s="11">
        <v>45443</v>
      </c>
      <c r="B416" s="12" t="s">
        <v>1267</v>
      </c>
      <c r="C416" s="12" t="s">
        <v>1268</v>
      </c>
      <c r="D416" s="12"/>
      <c r="E416" s="13">
        <v>-400.5</v>
      </c>
    </row>
    <row r="417" spans="1:5" x14ac:dyDescent="0.25">
      <c r="A417" s="11">
        <v>45443</v>
      </c>
      <c r="B417" s="12" t="s">
        <v>1269</v>
      </c>
      <c r="C417" s="12" t="s">
        <v>1268</v>
      </c>
      <c r="D417" s="12"/>
      <c r="E417" s="13">
        <v>-502.5</v>
      </c>
    </row>
    <row r="418" spans="1:5" x14ac:dyDescent="0.25">
      <c r="A418" s="11">
        <v>45443</v>
      </c>
      <c r="B418" s="12" t="s">
        <v>1270</v>
      </c>
      <c r="C418" s="12" t="s">
        <v>832</v>
      </c>
      <c r="D418" s="12"/>
      <c r="E418" s="13">
        <v>-297</v>
      </c>
    </row>
    <row r="419" spans="1:5" x14ac:dyDescent="0.25">
      <c r="A419" s="11">
        <v>45473</v>
      </c>
      <c r="B419" s="12" t="s">
        <v>1271</v>
      </c>
      <c r="C419" s="12" t="s">
        <v>1272</v>
      </c>
      <c r="D419" s="12"/>
      <c r="E419" s="13">
        <v>-40</v>
      </c>
    </row>
    <row r="420" spans="1:5" x14ac:dyDescent="0.25">
      <c r="A420" s="11">
        <v>45473</v>
      </c>
      <c r="B420" s="12" t="s">
        <v>1273</v>
      </c>
      <c r="C420" s="12" t="s">
        <v>1272</v>
      </c>
      <c r="D420" s="12"/>
      <c r="E420" s="13">
        <v>-35</v>
      </c>
    </row>
    <row r="421" spans="1:5" x14ac:dyDescent="0.25">
      <c r="A421" s="11">
        <v>45473</v>
      </c>
      <c r="B421" s="12" t="s">
        <v>1274</v>
      </c>
      <c r="C421" s="12" t="s">
        <v>1272</v>
      </c>
      <c r="D421" s="12"/>
      <c r="E421" s="13">
        <v>-60</v>
      </c>
    </row>
    <row r="422" spans="1:5" x14ac:dyDescent="0.25">
      <c r="A422" s="11">
        <v>45473</v>
      </c>
      <c r="B422" s="12" t="s">
        <v>1275</v>
      </c>
      <c r="C422" s="12" t="s">
        <v>1276</v>
      </c>
      <c r="D422" s="12"/>
      <c r="E422" s="13">
        <v>-267</v>
      </c>
    </row>
    <row r="423" spans="1:5" x14ac:dyDescent="0.25">
      <c r="A423" s="11">
        <v>45473</v>
      </c>
      <c r="B423" s="12" t="s">
        <v>1277</v>
      </c>
      <c r="C423" s="12" t="s">
        <v>1278</v>
      </c>
      <c r="D423" s="12"/>
      <c r="E423" s="13">
        <v>-30</v>
      </c>
    </row>
    <row r="424" spans="1:5" x14ac:dyDescent="0.25">
      <c r="A424" s="11">
        <v>45473</v>
      </c>
      <c r="B424" s="12" t="s">
        <v>1279</v>
      </c>
      <c r="C424" s="12" t="s">
        <v>1244</v>
      </c>
      <c r="D424" s="12"/>
      <c r="E424" s="13">
        <v>-4543.5</v>
      </c>
    </row>
    <row r="425" spans="1:5" x14ac:dyDescent="0.25">
      <c r="A425" s="11">
        <v>45473</v>
      </c>
      <c r="B425" s="12" t="s">
        <v>1280</v>
      </c>
      <c r="C425" s="12" t="s">
        <v>1281</v>
      </c>
      <c r="D425" s="12"/>
      <c r="E425" s="13">
        <v>-713</v>
      </c>
    </row>
    <row r="426" spans="1:5" x14ac:dyDescent="0.25">
      <c r="A426" s="11">
        <v>45473</v>
      </c>
      <c r="B426" s="12" t="s">
        <v>1282</v>
      </c>
      <c r="C426" s="12" t="s">
        <v>1283</v>
      </c>
      <c r="D426" s="12"/>
      <c r="E426" s="13">
        <v>-370.5</v>
      </c>
    </row>
    <row r="427" spans="1:5" x14ac:dyDescent="0.25">
      <c r="A427" s="11">
        <v>45473</v>
      </c>
      <c r="B427" s="12" t="s">
        <v>1284</v>
      </c>
      <c r="C427" s="12" t="s">
        <v>1283</v>
      </c>
      <c r="D427" s="12"/>
      <c r="E427" s="13">
        <v>-222</v>
      </c>
    </row>
    <row r="428" spans="1:5" x14ac:dyDescent="0.25">
      <c r="A428" s="11">
        <v>45473</v>
      </c>
      <c r="B428" s="12" t="s">
        <v>1285</v>
      </c>
      <c r="C428" s="12" t="s">
        <v>1286</v>
      </c>
      <c r="D428" s="12"/>
      <c r="E428" s="13">
        <v>-40</v>
      </c>
    </row>
    <row r="429" spans="1:5" x14ac:dyDescent="0.25">
      <c r="A429" s="11">
        <v>45473</v>
      </c>
      <c r="B429" s="12" t="s">
        <v>1287</v>
      </c>
      <c r="C429" s="12" t="s">
        <v>1288</v>
      </c>
      <c r="D429" s="12"/>
      <c r="E429" s="13">
        <v>-163.5</v>
      </c>
    </row>
    <row r="430" spans="1:5" x14ac:dyDescent="0.25">
      <c r="A430" s="11">
        <v>45473</v>
      </c>
      <c r="B430" s="12" t="s">
        <v>1289</v>
      </c>
      <c r="C430" s="12" t="s">
        <v>1288</v>
      </c>
      <c r="D430" s="12"/>
      <c r="E430" s="13">
        <v>-207</v>
      </c>
    </row>
    <row r="431" spans="1:5" x14ac:dyDescent="0.25">
      <c r="A431" s="11">
        <v>45473</v>
      </c>
      <c r="B431" s="12" t="s">
        <v>1290</v>
      </c>
      <c r="C431" s="12" t="s">
        <v>1288</v>
      </c>
      <c r="D431" s="12"/>
      <c r="E431" s="13">
        <v>-118.5</v>
      </c>
    </row>
    <row r="432" spans="1:5" x14ac:dyDescent="0.25">
      <c r="A432" s="11">
        <v>45473</v>
      </c>
      <c r="B432" s="12" t="s">
        <v>1291</v>
      </c>
      <c r="C432" s="12" t="s">
        <v>1288</v>
      </c>
      <c r="D432" s="12"/>
      <c r="E432" s="13">
        <v>-555.5</v>
      </c>
    </row>
    <row r="433" spans="1:5" x14ac:dyDescent="0.25">
      <c r="A433" s="11">
        <v>45504</v>
      </c>
      <c r="B433" s="12" t="s">
        <v>1292</v>
      </c>
      <c r="C433" s="12" t="s">
        <v>1293</v>
      </c>
      <c r="D433" s="12"/>
      <c r="E433" s="13">
        <v>-45</v>
      </c>
    </row>
    <row r="434" spans="1:5" x14ac:dyDescent="0.25">
      <c r="A434" s="11">
        <v>45504</v>
      </c>
      <c r="B434" s="12" t="s">
        <v>1294</v>
      </c>
      <c r="C434" s="12" t="s">
        <v>1295</v>
      </c>
      <c r="D434" s="12"/>
      <c r="E434" s="13">
        <v>-681</v>
      </c>
    </row>
    <row r="435" spans="1:5" x14ac:dyDescent="0.25">
      <c r="A435" s="11">
        <v>45504</v>
      </c>
      <c r="B435" s="12" t="s">
        <v>1296</v>
      </c>
      <c r="C435" s="12" t="s">
        <v>1295</v>
      </c>
      <c r="D435" s="12"/>
      <c r="E435" s="13">
        <v>-120</v>
      </c>
    </row>
    <row r="436" spans="1:5" x14ac:dyDescent="0.25">
      <c r="A436" s="11">
        <v>45504</v>
      </c>
      <c r="B436" s="12" t="s">
        <v>1297</v>
      </c>
      <c r="C436" s="12" t="s">
        <v>1298</v>
      </c>
      <c r="D436" s="12"/>
      <c r="E436" s="13">
        <v>-28.5</v>
      </c>
    </row>
    <row r="437" spans="1:5" x14ac:dyDescent="0.25">
      <c r="A437" s="11">
        <v>45504</v>
      </c>
      <c r="B437" s="12" t="s">
        <v>1299</v>
      </c>
      <c r="C437" s="12" t="s">
        <v>1300</v>
      </c>
      <c r="D437" s="12"/>
      <c r="E437" s="13">
        <v>-80</v>
      </c>
    </row>
    <row r="438" spans="1:5" x14ac:dyDescent="0.25">
      <c r="A438" s="11">
        <v>45504</v>
      </c>
      <c r="B438" s="12" t="s">
        <v>1301</v>
      </c>
      <c r="C438" s="12" t="s">
        <v>1300</v>
      </c>
      <c r="D438" s="12"/>
      <c r="E438" s="13">
        <v>-75</v>
      </c>
    </row>
    <row r="439" spans="1:5" x14ac:dyDescent="0.25">
      <c r="A439" s="11">
        <v>45504</v>
      </c>
      <c r="B439" s="12" t="s">
        <v>1302</v>
      </c>
      <c r="C439" s="12" t="s">
        <v>1303</v>
      </c>
      <c r="D439" s="12"/>
      <c r="E439" s="13">
        <v>-70</v>
      </c>
    </row>
    <row r="440" spans="1:5" x14ac:dyDescent="0.25">
      <c r="A440" s="11">
        <v>45504</v>
      </c>
      <c r="B440" s="12" t="s">
        <v>1304</v>
      </c>
      <c r="C440" s="12" t="s">
        <v>1303</v>
      </c>
      <c r="D440" s="12"/>
      <c r="E440" s="13">
        <v>-75</v>
      </c>
    </row>
    <row r="441" spans="1:5" x14ac:dyDescent="0.25">
      <c r="A441" s="11">
        <v>45504</v>
      </c>
      <c r="B441" s="12" t="s">
        <v>1305</v>
      </c>
      <c r="C441" s="12" t="s">
        <v>1303</v>
      </c>
      <c r="D441" s="12"/>
      <c r="E441" s="13">
        <v>-75</v>
      </c>
    </row>
    <row r="442" spans="1:5" x14ac:dyDescent="0.25">
      <c r="A442" s="11">
        <v>45504</v>
      </c>
      <c r="B442" s="12" t="s">
        <v>1306</v>
      </c>
      <c r="C442" s="12" t="s">
        <v>1303</v>
      </c>
      <c r="D442" s="12"/>
      <c r="E442" s="13">
        <v>-35</v>
      </c>
    </row>
    <row r="443" spans="1:5" x14ac:dyDescent="0.25">
      <c r="A443" s="11">
        <v>45504</v>
      </c>
      <c r="B443" s="12" t="s">
        <v>1307</v>
      </c>
      <c r="C443" s="12" t="s">
        <v>1295</v>
      </c>
      <c r="D443" s="12"/>
      <c r="E443" s="13">
        <v>-45</v>
      </c>
    </row>
    <row r="444" spans="1:5" x14ac:dyDescent="0.25">
      <c r="A444" s="11">
        <v>45535</v>
      </c>
      <c r="B444" s="12" t="s">
        <v>1308</v>
      </c>
      <c r="C444" s="12" t="s">
        <v>1309</v>
      </c>
      <c r="D444" s="12"/>
      <c r="E444" s="13">
        <v>-747</v>
      </c>
    </row>
    <row r="445" spans="1:5" x14ac:dyDescent="0.25">
      <c r="A445" s="11">
        <v>45535</v>
      </c>
      <c r="B445" s="12" t="s">
        <v>1310</v>
      </c>
      <c r="C445" s="12" t="s">
        <v>1311</v>
      </c>
      <c r="D445" s="12"/>
      <c r="E445" s="13">
        <v>-85</v>
      </c>
    </row>
    <row r="446" spans="1:5" x14ac:dyDescent="0.25">
      <c r="A446" s="11">
        <v>45535</v>
      </c>
      <c r="B446" s="12" t="s">
        <v>222</v>
      </c>
      <c r="C446" s="12" t="s">
        <v>1312</v>
      </c>
      <c r="D446" s="12"/>
      <c r="E446" s="13">
        <v>-60</v>
      </c>
    </row>
    <row r="447" spans="1:5" x14ac:dyDescent="0.25">
      <c r="A447" s="11">
        <v>45535</v>
      </c>
      <c r="B447" s="12" t="s">
        <v>1313</v>
      </c>
      <c r="C447" s="12" t="s">
        <v>1312</v>
      </c>
      <c r="D447" s="12"/>
      <c r="E447" s="13">
        <v>-60</v>
      </c>
    </row>
    <row r="448" spans="1:5" x14ac:dyDescent="0.25">
      <c r="A448" s="11">
        <v>45535</v>
      </c>
      <c r="B448" s="12" t="s">
        <v>223</v>
      </c>
      <c r="C448" s="12" t="s">
        <v>1312</v>
      </c>
      <c r="D448" s="12"/>
      <c r="E448" s="13">
        <v>-50</v>
      </c>
    </row>
    <row r="449" spans="1:5" x14ac:dyDescent="0.25">
      <c r="A449" s="11">
        <v>45535</v>
      </c>
      <c r="B449" s="12" t="s">
        <v>224</v>
      </c>
      <c r="C449" s="12" t="s">
        <v>1312</v>
      </c>
      <c r="D449" s="12"/>
      <c r="E449" s="13">
        <v>-150</v>
      </c>
    </row>
    <row r="450" spans="1:5" x14ac:dyDescent="0.25">
      <c r="A450" s="11">
        <v>45535</v>
      </c>
      <c r="B450" s="12" t="s">
        <v>1314</v>
      </c>
      <c r="C450" s="12" t="s">
        <v>1315</v>
      </c>
      <c r="D450" s="12"/>
      <c r="E450" s="13">
        <v>-38</v>
      </c>
    </row>
    <row r="451" spans="1:5" x14ac:dyDescent="0.25">
      <c r="A451" s="11">
        <v>45535</v>
      </c>
      <c r="B451" s="12" t="s">
        <v>1316</v>
      </c>
      <c r="C451" s="12" t="s">
        <v>1315</v>
      </c>
      <c r="D451" s="12"/>
      <c r="E451" s="13">
        <v>-746</v>
      </c>
    </row>
    <row r="452" spans="1:5" x14ac:dyDescent="0.25">
      <c r="A452" s="11">
        <v>45535</v>
      </c>
      <c r="B452" s="12" t="s">
        <v>1317</v>
      </c>
      <c r="C452" s="12" t="s">
        <v>1318</v>
      </c>
      <c r="D452" s="12"/>
      <c r="E452" s="13">
        <v>-222</v>
      </c>
    </row>
    <row r="453" spans="1:5" x14ac:dyDescent="0.25">
      <c r="A453" s="11">
        <v>45535</v>
      </c>
      <c r="B453" s="12" t="s">
        <v>1319</v>
      </c>
      <c r="C453" s="12" t="s">
        <v>1320</v>
      </c>
      <c r="D453" s="12"/>
      <c r="E453" s="13">
        <v>-40</v>
      </c>
    </row>
    <row r="454" spans="1:5" x14ac:dyDescent="0.25">
      <c r="A454" s="11">
        <v>45535</v>
      </c>
      <c r="B454" s="12" t="s">
        <v>1321</v>
      </c>
      <c r="C454" s="12" t="s">
        <v>1322</v>
      </c>
      <c r="D454" s="12"/>
      <c r="E454" s="13">
        <v>-75</v>
      </c>
    </row>
    <row r="455" spans="1:5" x14ac:dyDescent="0.25">
      <c r="A455" s="11">
        <v>45535</v>
      </c>
      <c r="B455" s="12" t="s">
        <v>1323</v>
      </c>
      <c r="C455" s="12" t="s">
        <v>1324</v>
      </c>
      <c r="D455" s="12"/>
      <c r="E455" s="13">
        <v>-135</v>
      </c>
    </row>
    <row r="456" spans="1:5" x14ac:dyDescent="0.25">
      <c r="A456" s="11">
        <v>45535</v>
      </c>
      <c r="B456" s="12" t="s">
        <v>1325</v>
      </c>
      <c r="C456" s="12" t="s">
        <v>1320</v>
      </c>
      <c r="D456" s="12"/>
      <c r="E456" s="13">
        <v>-20</v>
      </c>
    </row>
    <row r="457" spans="1:5" x14ac:dyDescent="0.25">
      <c r="A457" s="11">
        <v>45535</v>
      </c>
      <c r="B457" s="12" t="s">
        <v>1326</v>
      </c>
      <c r="C457" s="12" t="s">
        <v>1322</v>
      </c>
      <c r="D457" s="12"/>
      <c r="E457" s="13">
        <v>-40</v>
      </c>
    </row>
    <row r="458" spans="1:5" x14ac:dyDescent="0.25">
      <c r="A458" s="11">
        <v>45535</v>
      </c>
      <c r="B458" s="12" t="s">
        <v>1327</v>
      </c>
      <c r="C458" s="12" t="s">
        <v>1322</v>
      </c>
      <c r="D458" s="12"/>
      <c r="E458" s="13">
        <v>-35</v>
      </c>
    </row>
    <row r="459" spans="1:5" x14ac:dyDescent="0.25">
      <c r="A459" s="11">
        <v>45535</v>
      </c>
      <c r="B459" s="12" t="s">
        <v>1328</v>
      </c>
      <c r="C459" s="12" t="s">
        <v>1329</v>
      </c>
      <c r="D459" s="12"/>
      <c r="E459" s="13">
        <v>-60</v>
      </c>
    </row>
    <row r="460" spans="1:5" x14ac:dyDescent="0.25">
      <c r="A460" s="11">
        <v>45535</v>
      </c>
      <c r="B460" s="12" t="s">
        <v>1330</v>
      </c>
      <c r="C460" s="12" t="s">
        <v>1329</v>
      </c>
      <c r="D460" s="12"/>
      <c r="E460" s="13">
        <v>-60</v>
      </c>
    </row>
    <row r="461" spans="1:5" x14ac:dyDescent="0.25">
      <c r="A461" s="11">
        <v>45535</v>
      </c>
      <c r="B461" s="12" t="s">
        <v>1331</v>
      </c>
      <c r="C461" s="12" t="s">
        <v>1329</v>
      </c>
      <c r="D461" s="12"/>
      <c r="E461" s="13">
        <v>-60</v>
      </c>
    </row>
    <row r="462" spans="1:5" x14ac:dyDescent="0.25">
      <c r="A462" s="11">
        <v>45535</v>
      </c>
      <c r="B462" s="12" t="s">
        <v>1332</v>
      </c>
      <c r="C462" s="12" t="s">
        <v>1329</v>
      </c>
      <c r="D462" s="12"/>
      <c r="E462" s="13">
        <v>-150</v>
      </c>
    </row>
    <row r="463" spans="1:5" x14ac:dyDescent="0.25">
      <c r="A463" s="11">
        <v>45535</v>
      </c>
      <c r="B463" s="12" t="s">
        <v>1333</v>
      </c>
      <c r="C463" s="12" t="s">
        <v>1329</v>
      </c>
      <c r="D463" s="12"/>
      <c r="E463" s="13">
        <v>-60</v>
      </c>
    </row>
    <row r="464" spans="1:5" x14ac:dyDescent="0.25">
      <c r="A464" s="11">
        <v>45535</v>
      </c>
      <c r="B464" s="12" t="s">
        <v>1334</v>
      </c>
      <c r="C464" s="12" t="s">
        <v>1329</v>
      </c>
      <c r="D464" s="12"/>
      <c r="E464" s="13">
        <v>-60</v>
      </c>
    </row>
    <row r="465" spans="1:5" x14ac:dyDescent="0.25">
      <c r="A465" s="11">
        <v>45535</v>
      </c>
      <c r="B465" s="12" t="s">
        <v>1335</v>
      </c>
      <c r="C465" s="12" t="s">
        <v>1336</v>
      </c>
      <c r="D465" s="12"/>
      <c r="E465" s="13">
        <v>-60</v>
      </c>
    </row>
    <row r="466" spans="1:5" x14ac:dyDescent="0.25">
      <c r="A466" s="11">
        <v>45535</v>
      </c>
      <c r="B466" s="12" t="s">
        <v>1337</v>
      </c>
      <c r="C466" s="12" t="s">
        <v>1329</v>
      </c>
      <c r="D466" s="12"/>
      <c r="E466" s="13">
        <v>-60</v>
      </c>
    </row>
    <row r="467" spans="1:5" x14ac:dyDescent="0.25">
      <c r="A467" s="11">
        <v>45535</v>
      </c>
      <c r="B467" s="12" t="s">
        <v>1338</v>
      </c>
      <c r="C467" s="12" t="s">
        <v>1329</v>
      </c>
      <c r="D467" s="12"/>
      <c r="E467" s="13">
        <v>-150</v>
      </c>
    </row>
    <row r="468" spans="1:5" x14ac:dyDescent="0.25">
      <c r="A468" s="11">
        <v>45535</v>
      </c>
      <c r="B468" s="12" t="s">
        <v>1339</v>
      </c>
      <c r="C468" s="12" t="s">
        <v>1329</v>
      </c>
      <c r="D468" s="12"/>
      <c r="E468" s="13">
        <v>-100</v>
      </c>
    </row>
    <row r="469" spans="1:5" x14ac:dyDescent="0.25">
      <c r="A469" s="11">
        <v>45535</v>
      </c>
      <c r="B469" s="12" t="s">
        <v>1340</v>
      </c>
      <c r="C469" s="12" t="s">
        <v>1329</v>
      </c>
      <c r="D469" s="12"/>
      <c r="E469" s="13">
        <v>-60</v>
      </c>
    </row>
    <row r="470" spans="1:5" x14ac:dyDescent="0.25">
      <c r="A470" s="11">
        <v>45535</v>
      </c>
      <c r="B470" s="12" t="s">
        <v>1341</v>
      </c>
      <c r="C470" s="12" t="s">
        <v>1342</v>
      </c>
      <c r="D470" s="12"/>
      <c r="E470" s="13">
        <v>-60</v>
      </c>
    </row>
    <row r="471" spans="1:5" x14ac:dyDescent="0.25">
      <c r="A471" s="11">
        <v>45535</v>
      </c>
      <c r="B471" s="12" t="s">
        <v>1343</v>
      </c>
      <c r="C471" s="12" t="s">
        <v>1344</v>
      </c>
      <c r="D471" s="12"/>
      <c r="E471" s="13">
        <v>-85</v>
      </c>
    </row>
    <row r="472" spans="1:5" x14ac:dyDescent="0.25">
      <c r="A472" s="11">
        <v>45535</v>
      </c>
      <c r="B472" s="12" t="s">
        <v>1345</v>
      </c>
      <c r="C472" s="12" t="s">
        <v>1336</v>
      </c>
      <c r="D472" s="12"/>
      <c r="E472" s="13">
        <v>-60</v>
      </c>
    </row>
    <row r="473" spans="1:5" x14ac:dyDescent="0.25">
      <c r="A473" s="11">
        <v>45535</v>
      </c>
      <c r="B473" s="12" t="s">
        <v>1346</v>
      </c>
      <c r="C473" s="12" t="s">
        <v>1329</v>
      </c>
      <c r="D473" s="12"/>
      <c r="E473" s="13">
        <v>-60</v>
      </c>
    </row>
    <row r="474" spans="1:5" x14ac:dyDescent="0.25">
      <c r="A474" s="11">
        <v>45535</v>
      </c>
      <c r="B474" s="12" t="s">
        <v>1347</v>
      </c>
      <c r="C474" s="12" t="s">
        <v>1348</v>
      </c>
      <c r="D474" s="12"/>
      <c r="E474" s="13">
        <v>-60</v>
      </c>
    </row>
    <row r="475" spans="1:5" x14ac:dyDescent="0.25">
      <c r="A475" s="11">
        <v>45535</v>
      </c>
      <c r="B475" s="12" t="s">
        <v>1349</v>
      </c>
      <c r="C475" s="12" t="s">
        <v>1350</v>
      </c>
      <c r="D475" s="12"/>
      <c r="E475" s="13">
        <v>-60</v>
      </c>
    </row>
    <row r="476" spans="1:5" x14ac:dyDescent="0.25">
      <c r="A476" s="11">
        <v>45535</v>
      </c>
      <c r="B476" s="12" t="s">
        <v>1351</v>
      </c>
      <c r="C476" s="12" t="s">
        <v>1350</v>
      </c>
      <c r="D476" s="12"/>
      <c r="E476" s="13">
        <v>-150</v>
      </c>
    </row>
    <row r="477" spans="1:5" x14ac:dyDescent="0.25">
      <c r="A477" s="11">
        <v>45535</v>
      </c>
      <c r="B477" s="12" t="s">
        <v>1352</v>
      </c>
      <c r="C477" s="12" t="s">
        <v>1336</v>
      </c>
      <c r="D477" s="12"/>
      <c r="E477" s="13">
        <v>-60</v>
      </c>
    </row>
    <row r="478" spans="1:5" x14ac:dyDescent="0.25">
      <c r="A478" s="11">
        <v>45535</v>
      </c>
      <c r="B478" s="12" t="s">
        <v>1353</v>
      </c>
      <c r="C478" s="12" t="s">
        <v>1329</v>
      </c>
      <c r="D478" s="12"/>
      <c r="E478" s="13">
        <v>-60</v>
      </c>
    </row>
    <row r="479" spans="1:5" x14ac:dyDescent="0.25">
      <c r="A479" s="11">
        <v>45535</v>
      </c>
      <c r="B479" s="12" t="s">
        <v>1354</v>
      </c>
      <c r="C479" s="12" t="s">
        <v>1329</v>
      </c>
      <c r="D479" s="12"/>
      <c r="E479" s="13">
        <v>-60</v>
      </c>
    </row>
    <row r="480" spans="1:5" x14ac:dyDescent="0.25">
      <c r="A480" s="11">
        <v>45535</v>
      </c>
      <c r="B480" s="12" t="s">
        <v>1355</v>
      </c>
      <c r="C480" s="12" t="s">
        <v>1336</v>
      </c>
      <c r="D480" s="12"/>
      <c r="E480" s="13">
        <v>-60</v>
      </c>
    </row>
    <row r="481" spans="1:5" x14ac:dyDescent="0.25">
      <c r="A481" s="11">
        <v>45535</v>
      </c>
      <c r="B481" s="12" t="s">
        <v>1356</v>
      </c>
      <c r="C481" s="12" t="s">
        <v>1329</v>
      </c>
      <c r="D481" s="12"/>
      <c r="E481" s="13">
        <v>-60</v>
      </c>
    </row>
    <row r="482" spans="1:5" x14ac:dyDescent="0.25">
      <c r="A482" s="11">
        <v>45535</v>
      </c>
      <c r="B482" s="12" t="s">
        <v>1357</v>
      </c>
      <c r="C482" s="12" t="s">
        <v>1329</v>
      </c>
      <c r="D482" s="12"/>
      <c r="E482" s="13">
        <v>-70</v>
      </c>
    </row>
    <row r="483" spans="1:5" x14ac:dyDescent="0.25">
      <c r="A483" s="11">
        <v>45535</v>
      </c>
      <c r="B483" s="12" t="s">
        <v>120</v>
      </c>
      <c r="C483" s="12" t="s">
        <v>1358</v>
      </c>
      <c r="D483" s="12"/>
      <c r="E483" s="13">
        <v>-60</v>
      </c>
    </row>
    <row r="484" spans="1:5" x14ac:dyDescent="0.25">
      <c r="A484" s="11">
        <v>45535</v>
      </c>
      <c r="B484" s="12" t="s">
        <v>117</v>
      </c>
      <c r="C484" s="12" t="s">
        <v>1358</v>
      </c>
      <c r="D484" s="12"/>
      <c r="E484" s="13">
        <v>-60</v>
      </c>
    </row>
    <row r="485" spans="1:5" x14ac:dyDescent="0.25">
      <c r="A485" s="11">
        <v>45535</v>
      </c>
      <c r="B485" s="12" t="s">
        <v>1359</v>
      </c>
      <c r="C485" s="12" t="s">
        <v>1329</v>
      </c>
      <c r="D485" s="12"/>
      <c r="E485" s="13">
        <v>-150</v>
      </c>
    </row>
    <row r="486" spans="1:5" x14ac:dyDescent="0.25">
      <c r="A486" s="11">
        <v>45535</v>
      </c>
      <c r="B486" s="12" t="s">
        <v>1360</v>
      </c>
      <c r="C486" s="12" t="s">
        <v>1329</v>
      </c>
      <c r="D486" s="12"/>
      <c r="E486" s="13">
        <v>-60</v>
      </c>
    </row>
    <row r="487" spans="1:5" x14ac:dyDescent="0.25">
      <c r="A487" s="11">
        <v>45535</v>
      </c>
      <c r="B487" s="12" t="s">
        <v>1361</v>
      </c>
      <c r="C487" s="12" t="s">
        <v>1362</v>
      </c>
      <c r="D487" s="12"/>
      <c r="E487" s="13">
        <v>-100</v>
      </c>
    </row>
    <row r="488" spans="1:5" x14ac:dyDescent="0.25">
      <c r="A488" s="11">
        <v>45535</v>
      </c>
      <c r="B488" s="12" t="s">
        <v>125</v>
      </c>
      <c r="C488" s="12" t="s">
        <v>1363</v>
      </c>
      <c r="D488" s="12"/>
      <c r="E488" s="13">
        <v>-90</v>
      </c>
    </row>
    <row r="489" spans="1:5" x14ac:dyDescent="0.25">
      <c r="A489" s="11">
        <v>45535</v>
      </c>
      <c r="B489" s="12" t="s">
        <v>129</v>
      </c>
      <c r="C489" s="12" t="s">
        <v>1358</v>
      </c>
      <c r="D489" s="12"/>
      <c r="E489" s="13">
        <v>-60</v>
      </c>
    </row>
    <row r="490" spans="1:5" x14ac:dyDescent="0.25">
      <c r="A490" s="11">
        <v>45535</v>
      </c>
      <c r="B490" s="12" t="s">
        <v>127</v>
      </c>
      <c r="C490" s="12" t="s">
        <v>1358</v>
      </c>
      <c r="D490" s="12"/>
      <c r="E490" s="13">
        <v>-60</v>
      </c>
    </row>
    <row r="491" spans="1:5" x14ac:dyDescent="0.25">
      <c r="A491" s="11">
        <v>45535</v>
      </c>
      <c r="B491" s="12" t="s">
        <v>131</v>
      </c>
      <c r="C491" s="12" t="s">
        <v>1358</v>
      </c>
      <c r="D491" s="12"/>
      <c r="E491" s="13">
        <v>-150</v>
      </c>
    </row>
    <row r="492" spans="1:5" x14ac:dyDescent="0.25">
      <c r="A492" s="11">
        <v>45535</v>
      </c>
      <c r="B492" s="12" t="s">
        <v>130</v>
      </c>
      <c r="C492" s="12" t="s">
        <v>1358</v>
      </c>
      <c r="D492" s="12"/>
      <c r="E492" s="13">
        <v>-150</v>
      </c>
    </row>
    <row r="493" spans="1:5" x14ac:dyDescent="0.25">
      <c r="A493" s="11">
        <v>45535</v>
      </c>
      <c r="B493" s="12" t="s">
        <v>122</v>
      </c>
      <c r="C493" s="12" t="s">
        <v>1358</v>
      </c>
      <c r="D493" s="12"/>
      <c r="E493" s="13">
        <v>-45</v>
      </c>
    </row>
    <row r="494" spans="1:5" x14ac:dyDescent="0.25">
      <c r="A494" s="11">
        <v>45535</v>
      </c>
      <c r="B494" s="12" t="s">
        <v>123</v>
      </c>
      <c r="C494" s="12" t="s">
        <v>1358</v>
      </c>
      <c r="D494" s="12"/>
      <c r="E494" s="13">
        <v>-60</v>
      </c>
    </row>
    <row r="495" spans="1:5" x14ac:dyDescent="0.25">
      <c r="A495" s="11">
        <v>45535</v>
      </c>
      <c r="B495" s="12" t="s">
        <v>128</v>
      </c>
      <c r="C495" s="12" t="s">
        <v>1358</v>
      </c>
      <c r="D495" s="12"/>
      <c r="E495" s="13">
        <v>-60</v>
      </c>
    </row>
    <row r="496" spans="1:5" x14ac:dyDescent="0.25">
      <c r="A496" s="11">
        <v>45535</v>
      </c>
      <c r="B496" s="12" t="s">
        <v>1364</v>
      </c>
      <c r="C496" s="12" t="s">
        <v>1365</v>
      </c>
      <c r="D496" s="12"/>
      <c r="E496" s="13">
        <v>-60</v>
      </c>
    </row>
    <row r="497" spans="1:5" x14ac:dyDescent="0.25">
      <c r="A497" s="11">
        <v>45535</v>
      </c>
      <c r="B497" s="12" t="s">
        <v>1366</v>
      </c>
      <c r="C497" s="12" t="s">
        <v>1329</v>
      </c>
      <c r="D497" s="12"/>
      <c r="E497" s="13">
        <v>-60</v>
      </c>
    </row>
    <row r="498" spans="1:5" x14ac:dyDescent="0.25">
      <c r="A498" s="11">
        <v>45535</v>
      </c>
      <c r="B498" s="12" t="s">
        <v>1367</v>
      </c>
      <c r="C498" s="12" t="s">
        <v>1329</v>
      </c>
      <c r="D498" s="12"/>
      <c r="E498" s="13">
        <v>-70</v>
      </c>
    </row>
    <row r="499" spans="1:5" x14ac:dyDescent="0.25">
      <c r="A499" s="11">
        <v>45535</v>
      </c>
      <c r="B499" s="12" t="s">
        <v>1368</v>
      </c>
      <c r="C499" s="12" t="s">
        <v>1369</v>
      </c>
      <c r="D499" s="12"/>
      <c r="E499" s="13">
        <v>-40</v>
      </c>
    </row>
    <row r="500" spans="1:5" x14ac:dyDescent="0.25">
      <c r="A500" s="11">
        <v>45535</v>
      </c>
      <c r="B500" s="12" t="s">
        <v>1370</v>
      </c>
      <c r="C500" s="12" t="s">
        <v>1369</v>
      </c>
      <c r="D500" s="12"/>
      <c r="E500" s="13">
        <v>-40</v>
      </c>
    </row>
    <row r="501" spans="1:5" x14ac:dyDescent="0.25">
      <c r="A501" s="11">
        <v>45535</v>
      </c>
      <c r="B501" s="12" t="s">
        <v>1371</v>
      </c>
      <c r="C501" s="12" t="s">
        <v>1369</v>
      </c>
      <c r="D501" s="12"/>
      <c r="E501" s="13">
        <v>-35</v>
      </c>
    </row>
    <row r="502" spans="1:5" x14ac:dyDescent="0.25">
      <c r="A502" s="11">
        <v>45535</v>
      </c>
      <c r="B502" s="12" t="s">
        <v>1372</v>
      </c>
      <c r="C502" s="12" t="s">
        <v>1329</v>
      </c>
      <c r="D502" s="12"/>
      <c r="E502" s="13">
        <v>-150</v>
      </c>
    </row>
    <row r="503" spans="1:5" x14ac:dyDescent="0.25">
      <c r="A503" s="11">
        <v>45535</v>
      </c>
      <c r="B503" s="12" t="s">
        <v>1373</v>
      </c>
      <c r="C503" s="12" t="s">
        <v>1336</v>
      </c>
      <c r="D503" s="12"/>
      <c r="E503" s="13">
        <v>-60</v>
      </c>
    </row>
    <row r="504" spans="1:5" x14ac:dyDescent="0.25">
      <c r="A504" s="11">
        <v>45535</v>
      </c>
      <c r="B504" s="12" t="s">
        <v>1374</v>
      </c>
      <c r="C504" s="12" t="s">
        <v>1336</v>
      </c>
      <c r="D504" s="12"/>
      <c r="E504" s="13">
        <v>-60</v>
      </c>
    </row>
    <row r="505" spans="1:5" x14ac:dyDescent="0.25">
      <c r="A505" s="11">
        <v>45535</v>
      </c>
      <c r="B505" s="12" t="s">
        <v>1375</v>
      </c>
      <c r="C505" s="12" t="s">
        <v>1336</v>
      </c>
      <c r="D505" s="12"/>
      <c r="E505" s="13">
        <v>-60</v>
      </c>
    </row>
    <row r="506" spans="1:5" x14ac:dyDescent="0.25">
      <c r="A506" s="11">
        <v>45535</v>
      </c>
      <c r="B506" s="12" t="s">
        <v>1376</v>
      </c>
      <c r="C506" s="12" t="s">
        <v>1377</v>
      </c>
      <c r="D506" s="12"/>
      <c r="E506" s="13">
        <v>-60</v>
      </c>
    </row>
    <row r="507" spans="1:5" x14ac:dyDescent="0.25">
      <c r="A507" s="11">
        <v>45535</v>
      </c>
      <c r="B507" s="12" t="s">
        <v>1378</v>
      </c>
      <c r="C507" s="12" t="s">
        <v>1377</v>
      </c>
      <c r="D507" s="12"/>
      <c r="E507" s="13">
        <v>-105</v>
      </c>
    </row>
    <row r="508" spans="1:5" x14ac:dyDescent="0.25">
      <c r="A508" s="11">
        <v>45535</v>
      </c>
      <c r="B508" s="12" t="s">
        <v>1379</v>
      </c>
      <c r="C508" s="12" t="s">
        <v>1377</v>
      </c>
      <c r="D508" s="12"/>
      <c r="E508" s="13">
        <v>-40</v>
      </c>
    </row>
    <row r="509" spans="1:5" x14ac:dyDescent="0.25">
      <c r="A509" s="11">
        <v>45565</v>
      </c>
      <c r="B509" s="12" t="s">
        <v>1380</v>
      </c>
      <c r="C509" s="12" t="s">
        <v>1342</v>
      </c>
      <c r="D509" s="12"/>
      <c r="E509" s="13">
        <v>-110</v>
      </c>
    </row>
    <row r="510" spans="1:5" x14ac:dyDescent="0.25">
      <c r="A510" s="11">
        <v>45565</v>
      </c>
      <c r="B510" s="12" t="s">
        <v>1381</v>
      </c>
      <c r="C510" s="12" t="s">
        <v>1342</v>
      </c>
      <c r="D510" s="12"/>
      <c r="E510" s="13">
        <v>-135</v>
      </c>
    </row>
    <row r="511" spans="1:5" x14ac:dyDescent="0.25">
      <c r="A511" s="11">
        <v>45565</v>
      </c>
      <c r="B511" s="12" t="s">
        <v>1382</v>
      </c>
      <c r="C511" s="12" t="s">
        <v>1383</v>
      </c>
      <c r="D511" s="12"/>
      <c r="E511" s="13">
        <v>-30</v>
      </c>
    </row>
    <row r="512" spans="1:5" x14ac:dyDescent="0.25">
      <c r="A512" s="11">
        <v>45565</v>
      </c>
      <c r="B512" s="12" t="s">
        <v>1384</v>
      </c>
      <c r="C512" s="12" t="s">
        <v>1336</v>
      </c>
      <c r="D512" s="12"/>
      <c r="E512" s="13">
        <v>-60</v>
      </c>
    </row>
    <row r="513" spans="1:5" x14ac:dyDescent="0.25">
      <c r="A513" s="11">
        <v>45565</v>
      </c>
      <c r="B513" s="12" t="s">
        <v>1385</v>
      </c>
      <c r="C513" s="12" t="s">
        <v>1336</v>
      </c>
      <c r="D513" s="12"/>
      <c r="E513" s="13">
        <v>-60</v>
      </c>
    </row>
    <row r="514" spans="1:5" x14ac:dyDescent="0.25">
      <c r="A514" s="11">
        <v>45565</v>
      </c>
      <c r="B514" s="12" t="s">
        <v>1386</v>
      </c>
      <c r="C514" s="12" t="s">
        <v>1336</v>
      </c>
      <c r="D514" s="12"/>
      <c r="E514" s="13">
        <v>-60</v>
      </c>
    </row>
    <row r="515" spans="1:5" x14ac:dyDescent="0.25">
      <c r="A515" s="11">
        <v>45565</v>
      </c>
      <c r="B515" s="12" t="s">
        <v>1387</v>
      </c>
      <c r="C515" s="12" t="s">
        <v>1388</v>
      </c>
      <c r="D515" s="12"/>
      <c r="E515" s="13">
        <v>-60</v>
      </c>
    </row>
    <row r="516" spans="1:5" x14ac:dyDescent="0.25">
      <c r="A516" s="11">
        <v>45565</v>
      </c>
      <c r="B516" s="12" t="s">
        <v>1389</v>
      </c>
      <c r="C516" s="12" t="s">
        <v>1336</v>
      </c>
      <c r="D516" s="12"/>
      <c r="E516" s="13">
        <v>-60</v>
      </c>
    </row>
    <row r="517" spans="1:5" x14ac:dyDescent="0.25">
      <c r="A517" s="11">
        <v>45565</v>
      </c>
      <c r="B517" s="12" t="s">
        <v>1390</v>
      </c>
      <c r="C517" s="12" t="s">
        <v>1388</v>
      </c>
      <c r="D517" s="12"/>
      <c r="E517" s="13">
        <v>-40</v>
      </c>
    </row>
    <row r="518" spans="1:5" x14ac:dyDescent="0.25">
      <c r="A518" s="11">
        <v>45565</v>
      </c>
      <c r="B518" s="12" t="s">
        <v>1391</v>
      </c>
      <c r="C518" s="12" t="s">
        <v>1388</v>
      </c>
      <c r="D518" s="12"/>
      <c r="E518" s="13">
        <v>-60</v>
      </c>
    </row>
    <row r="519" spans="1:5" x14ac:dyDescent="0.25">
      <c r="A519" s="11">
        <v>45565</v>
      </c>
      <c r="B519" s="12" t="s">
        <v>1392</v>
      </c>
      <c r="C519" s="12" t="s">
        <v>1388</v>
      </c>
      <c r="D519" s="12"/>
      <c r="E519" s="13">
        <v>-180</v>
      </c>
    </row>
    <row r="520" spans="1:5" x14ac:dyDescent="0.25">
      <c r="A520" s="11">
        <v>45565</v>
      </c>
      <c r="B520" s="12" t="s">
        <v>1393</v>
      </c>
      <c r="C520" s="12" t="s">
        <v>1388</v>
      </c>
      <c r="D520" s="12"/>
      <c r="E520" s="13">
        <v>-50</v>
      </c>
    </row>
    <row r="521" spans="1:5" x14ac:dyDescent="0.25">
      <c r="A521" s="11">
        <v>45565</v>
      </c>
      <c r="B521" s="12" t="s">
        <v>1394</v>
      </c>
      <c r="C521" s="12" t="s">
        <v>1388</v>
      </c>
      <c r="D521" s="12"/>
      <c r="E521" s="13">
        <v>-40</v>
      </c>
    </row>
    <row r="522" spans="1:5" x14ac:dyDescent="0.25">
      <c r="A522" s="11">
        <v>45565</v>
      </c>
      <c r="B522" s="12" t="s">
        <v>1395</v>
      </c>
      <c r="C522" s="12" t="s">
        <v>1396</v>
      </c>
      <c r="D522" s="12"/>
      <c r="E522" s="13">
        <v>-15</v>
      </c>
    </row>
    <row r="523" spans="1:5" x14ac:dyDescent="0.25">
      <c r="A523" s="11">
        <v>45565</v>
      </c>
      <c r="B523" s="12" t="s">
        <v>1397</v>
      </c>
      <c r="C523" s="12" t="s">
        <v>1398</v>
      </c>
      <c r="D523" s="12"/>
      <c r="E523" s="13">
        <v>-180</v>
      </c>
    </row>
    <row r="524" spans="1:5" x14ac:dyDescent="0.25">
      <c r="A524" s="11">
        <v>45565</v>
      </c>
      <c r="B524" s="12" t="s">
        <v>1399</v>
      </c>
      <c r="C524" s="12" t="s">
        <v>1398</v>
      </c>
      <c r="D524" s="12"/>
      <c r="E524" s="13">
        <v>-20</v>
      </c>
    </row>
    <row r="525" spans="1:5" x14ac:dyDescent="0.25">
      <c r="A525" s="11">
        <v>45565</v>
      </c>
      <c r="B525" s="12" t="s">
        <v>1400</v>
      </c>
      <c r="C525" s="12" t="s">
        <v>1336</v>
      </c>
      <c r="D525" s="12"/>
      <c r="E525" s="13">
        <v>-60</v>
      </c>
    </row>
    <row r="526" spans="1:5" x14ac:dyDescent="0.25">
      <c r="A526" s="11">
        <v>45565</v>
      </c>
      <c r="B526" s="12" t="s">
        <v>1401</v>
      </c>
      <c r="C526" s="12"/>
      <c r="D526" s="12"/>
      <c r="E526" s="13">
        <v>-222</v>
      </c>
    </row>
    <row r="527" spans="1:5" x14ac:dyDescent="0.25">
      <c r="A527" s="11">
        <v>45565</v>
      </c>
      <c r="B527" s="12" t="s">
        <v>1402</v>
      </c>
      <c r="C527" s="12"/>
      <c r="D527" s="12"/>
      <c r="E527" s="13">
        <v>-60</v>
      </c>
    </row>
    <row r="528" spans="1:5" x14ac:dyDescent="0.25">
      <c r="A528" s="11">
        <v>45565</v>
      </c>
      <c r="B528" s="12" t="s">
        <v>1403</v>
      </c>
      <c r="C528" s="12"/>
      <c r="D528" s="12"/>
      <c r="E528" s="13">
        <v>-265.5</v>
      </c>
    </row>
    <row r="529" spans="1:5" x14ac:dyDescent="0.25">
      <c r="A529" s="11">
        <v>45565</v>
      </c>
      <c r="B529" s="12" t="s">
        <v>1404</v>
      </c>
      <c r="C529" s="12" t="s">
        <v>1405</v>
      </c>
      <c r="D529" s="12"/>
      <c r="E529" s="13">
        <v>-60</v>
      </c>
    </row>
    <row r="530" spans="1:5" x14ac:dyDescent="0.25">
      <c r="A530" s="11">
        <v>45565</v>
      </c>
      <c r="B530" s="12" t="s">
        <v>1406</v>
      </c>
      <c r="C530" s="12" t="s">
        <v>1405</v>
      </c>
      <c r="D530" s="12"/>
      <c r="E530" s="13">
        <v>-60</v>
      </c>
    </row>
    <row r="531" spans="1:5" x14ac:dyDescent="0.25">
      <c r="A531" s="11">
        <v>45565</v>
      </c>
      <c r="B531" s="12" t="s">
        <v>1407</v>
      </c>
      <c r="C531" s="12" t="s">
        <v>1405</v>
      </c>
      <c r="D531" s="12"/>
      <c r="E531" s="13">
        <v>-60</v>
      </c>
    </row>
    <row r="532" spans="1:5" x14ac:dyDescent="0.25">
      <c r="A532" s="11">
        <v>45565</v>
      </c>
      <c r="B532" s="12" t="s">
        <v>1408</v>
      </c>
      <c r="C532" s="12" t="s">
        <v>1409</v>
      </c>
      <c r="D532" s="12"/>
      <c r="E532" s="13">
        <v>-70</v>
      </c>
    </row>
    <row r="533" spans="1:5" x14ac:dyDescent="0.25">
      <c r="A533" s="11">
        <v>45565</v>
      </c>
      <c r="B533" s="12" t="s">
        <v>1410</v>
      </c>
      <c r="C533" s="12" t="s">
        <v>1411</v>
      </c>
      <c r="D533" s="12"/>
      <c r="E533" s="13">
        <v>-40</v>
      </c>
    </row>
    <row r="534" spans="1:5" x14ac:dyDescent="0.25">
      <c r="A534" s="11">
        <v>45565</v>
      </c>
      <c r="B534" s="12" t="s">
        <v>1412</v>
      </c>
      <c r="C534" s="12" t="s">
        <v>1411</v>
      </c>
      <c r="D534" s="12"/>
      <c r="E534" s="13">
        <v>-30</v>
      </c>
    </row>
    <row r="535" spans="1:5" x14ac:dyDescent="0.25">
      <c r="A535" s="11">
        <v>45565</v>
      </c>
      <c r="B535" s="12" t="s">
        <v>1413</v>
      </c>
      <c r="C535" s="12"/>
      <c r="D535" s="12"/>
      <c r="E535" s="13">
        <v>-135</v>
      </c>
    </row>
    <row r="536" spans="1:5" x14ac:dyDescent="0.25">
      <c r="A536" s="11">
        <v>45565</v>
      </c>
      <c r="B536" s="12" t="s">
        <v>1414</v>
      </c>
      <c r="C536" s="12"/>
      <c r="D536" s="12"/>
      <c r="E536" s="13">
        <v>-70</v>
      </c>
    </row>
    <row r="537" spans="1:5" x14ac:dyDescent="0.25">
      <c r="A537" s="11">
        <v>45565</v>
      </c>
      <c r="B537" s="12" t="s">
        <v>1415</v>
      </c>
      <c r="C537" s="12"/>
      <c r="D537" s="12"/>
      <c r="E537" s="13">
        <v>-30</v>
      </c>
    </row>
    <row r="538" spans="1:5" x14ac:dyDescent="0.25">
      <c r="A538" s="11">
        <v>45565</v>
      </c>
      <c r="B538" s="12" t="s">
        <v>1416</v>
      </c>
      <c r="C538" s="12" t="s">
        <v>1417</v>
      </c>
      <c r="D538" s="12"/>
      <c r="E538" s="13">
        <v>-35</v>
      </c>
    </row>
    <row r="539" spans="1:5" x14ac:dyDescent="0.25">
      <c r="A539" s="11">
        <v>45565</v>
      </c>
      <c r="B539" s="12" t="s">
        <v>1418</v>
      </c>
      <c r="C539" s="12" t="s">
        <v>1419</v>
      </c>
      <c r="D539" s="12"/>
      <c r="E539" s="13">
        <v>-60</v>
      </c>
    </row>
    <row r="540" spans="1:5" x14ac:dyDescent="0.25">
      <c r="A540" s="11">
        <v>45565</v>
      </c>
      <c r="B540" s="12" t="s">
        <v>1420</v>
      </c>
      <c r="C540" s="12" t="s">
        <v>1419</v>
      </c>
      <c r="D540" s="12"/>
      <c r="E540" s="13">
        <v>-90</v>
      </c>
    </row>
    <row r="541" spans="1:5" x14ac:dyDescent="0.25">
      <c r="A541" s="11">
        <v>45565</v>
      </c>
      <c r="B541" s="12" t="s">
        <v>1421</v>
      </c>
      <c r="C541" s="12" t="s">
        <v>1419</v>
      </c>
      <c r="D541" s="12"/>
      <c r="E541" s="13">
        <v>-50</v>
      </c>
    </row>
    <row r="542" spans="1:5" x14ac:dyDescent="0.25">
      <c r="A542" s="11">
        <v>45565</v>
      </c>
      <c r="B542" s="12" t="s">
        <v>1422</v>
      </c>
      <c r="C542" s="12" t="s">
        <v>1419</v>
      </c>
      <c r="D542" s="12"/>
      <c r="E542" s="13">
        <v>-60</v>
      </c>
    </row>
    <row r="543" spans="1:5" x14ac:dyDescent="0.25">
      <c r="A543" s="11">
        <v>45565</v>
      </c>
      <c r="B543" s="12" t="s">
        <v>1423</v>
      </c>
      <c r="C543" s="12" t="s">
        <v>1419</v>
      </c>
      <c r="D543" s="12"/>
      <c r="E543" s="13">
        <v>-40</v>
      </c>
    </row>
    <row r="544" spans="1:5" x14ac:dyDescent="0.25">
      <c r="A544" s="11">
        <v>45565</v>
      </c>
      <c r="B544" s="12" t="s">
        <v>1424</v>
      </c>
      <c r="C544" s="12" t="s">
        <v>1405</v>
      </c>
      <c r="D544" s="12"/>
      <c r="E544" s="13">
        <v>-45</v>
      </c>
    </row>
    <row r="545" spans="1:5" x14ac:dyDescent="0.25">
      <c r="A545" s="11">
        <v>45565</v>
      </c>
      <c r="B545" s="12" t="s">
        <v>1425</v>
      </c>
      <c r="C545" s="12" t="s">
        <v>1405</v>
      </c>
      <c r="D545" s="12"/>
      <c r="E545" s="13">
        <v>-45</v>
      </c>
    </row>
    <row r="546" spans="1:5" x14ac:dyDescent="0.25">
      <c r="A546" s="11">
        <v>45565</v>
      </c>
      <c r="B546" s="12" t="s">
        <v>1426</v>
      </c>
      <c r="C546" s="12" t="s">
        <v>1427</v>
      </c>
      <c r="D546" s="12"/>
      <c r="E546" s="13">
        <v>-60</v>
      </c>
    </row>
    <row r="547" spans="1:5" x14ac:dyDescent="0.25">
      <c r="A547" s="11">
        <v>45565</v>
      </c>
      <c r="B547" s="12" t="s">
        <v>1428</v>
      </c>
      <c r="C547" s="12" t="s">
        <v>1427</v>
      </c>
      <c r="D547" s="12"/>
      <c r="E547" s="13">
        <v>-60</v>
      </c>
    </row>
    <row r="548" spans="1:5" x14ac:dyDescent="0.25">
      <c r="A548" s="11">
        <v>45565</v>
      </c>
      <c r="B548" s="12" t="s">
        <v>1429</v>
      </c>
      <c r="C548" s="12" t="s">
        <v>1427</v>
      </c>
      <c r="D548" s="12"/>
      <c r="E548" s="13">
        <v>-60</v>
      </c>
    </row>
    <row r="549" spans="1:5" x14ac:dyDescent="0.25">
      <c r="A549" s="11">
        <v>45565</v>
      </c>
      <c r="B549" s="12" t="s">
        <v>1430</v>
      </c>
      <c r="C549" s="12" t="s">
        <v>1427</v>
      </c>
      <c r="D549" s="12"/>
      <c r="E549" s="13">
        <v>-50</v>
      </c>
    </row>
    <row r="550" spans="1:5" x14ac:dyDescent="0.25">
      <c r="A550" s="11">
        <v>45565</v>
      </c>
      <c r="B550" s="12" t="s">
        <v>1431</v>
      </c>
      <c r="C550" s="12" t="s">
        <v>1427</v>
      </c>
      <c r="D550" s="12"/>
      <c r="E550" s="13">
        <v>-50</v>
      </c>
    </row>
    <row r="551" spans="1:5" x14ac:dyDescent="0.25">
      <c r="A551" s="11">
        <v>45565</v>
      </c>
      <c r="B551" s="12" t="s">
        <v>1432</v>
      </c>
      <c r="C551" s="12" t="s">
        <v>1433</v>
      </c>
      <c r="D551" s="12"/>
      <c r="E551" s="13">
        <v>-40</v>
      </c>
    </row>
    <row r="552" spans="1:5" x14ac:dyDescent="0.25">
      <c r="A552" s="11">
        <v>45596</v>
      </c>
      <c r="B552" s="12" t="s">
        <v>1434</v>
      </c>
      <c r="C552" s="12" t="s">
        <v>1435</v>
      </c>
      <c r="D552" s="12"/>
      <c r="E552" s="13">
        <v>-70</v>
      </c>
    </row>
    <row r="553" spans="1:5" x14ac:dyDescent="0.25">
      <c r="A553" s="11">
        <v>45596</v>
      </c>
      <c r="B553" s="12" t="s">
        <v>1436</v>
      </c>
      <c r="C553" s="12" t="s">
        <v>1435</v>
      </c>
      <c r="D553" s="12"/>
      <c r="E553" s="13">
        <v>-85</v>
      </c>
    </row>
    <row r="554" spans="1:5" x14ac:dyDescent="0.25">
      <c r="A554" s="11">
        <v>45596</v>
      </c>
      <c r="B554" s="12" t="s">
        <v>1437</v>
      </c>
      <c r="C554" s="12" t="s">
        <v>1435</v>
      </c>
      <c r="D554" s="12"/>
      <c r="E554" s="13">
        <v>-50</v>
      </c>
    </row>
    <row r="555" spans="1:5" x14ac:dyDescent="0.25">
      <c r="A555" s="11">
        <v>45596</v>
      </c>
      <c r="B555" s="12" t="s">
        <v>1438</v>
      </c>
      <c r="C555" s="12" t="s">
        <v>1435</v>
      </c>
      <c r="D555" s="12"/>
      <c r="E555" s="13">
        <v>-35</v>
      </c>
    </row>
    <row r="556" spans="1:5" x14ac:dyDescent="0.25">
      <c r="A556" s="11">
        <v>45596</v>
      </c>
      <c r="B556" s="12" t="s">
        <v>1439</v>
      </c>
      <c r="C556" s="12" t="s">
        <v>1440</v>
      </c>
      <c r="D556" s="12"/>
      <c r="E556" s="13">
        <v>-70</v>
      </c>
    </row>
    <row r="557" spans="1:5" x14ac:dyDescent="0.25">
      <c r="A557" s="11">
        <v>45596</v>
      </c>
      <c r="B557" s="12" t="s">
        <v>1441</v>
      </c>
      <c r="C557" s="12" t="s">
        <v>1440</v>
      </c>
      <c r="D557" s="12"/>
      <c r="E557" s="13">
        <v>-25</v>
      </c>
    </row>
    <row r="558" spans="1:5" x14ac:dyDescent="0.25">
      <c r="A558" s="11">
        <v>45596</v>
      </c>
      <c r="B558" s="12" t="s">
        <v>1442</v>
      </c>
      <c r="C558" s="12"/>
      <c r="D558" s="12"/>
      <c r="E558" s="13">
        <v>-88.5</v>
      </c>
    </row>
    <row r="559" spans="1:5" x14ac:dyDescent="0.25">
      <c r="A559" s="11">
        <v>45596</v>
      </c>
      <c r="B559" s="12" t="s">
        <v>1443</v>
      </c>
      <c r="C559" s="12"/>
      <c r="D559" s="12"/>
      <c r="E559" s="13">
        <v>-80</v>
      </c>
    </row>
    <row r="560" spans="1:5" x14ac:dyDescent="0.25">
      <c r="A560" s="11">
        <v>45596</v>
      </c>
      <c r="B560" s="12" t="s">
        <v>1444</v>
      </c>
      <c r="C560" s="12"/>
      <c r="D560" s="12"/>
      <c r="E560" s="13">
        <v>-651</v>
      </c>
    </row>
    <row r="561" spans="1:5" x14ac:dyDescent="0.25">
      <c r="A561" s="11">
        <v>45596</v>
      </c>
      <c r="B561" s="12" t="s">
        <v>1445</v>
      </c>
      <c r="C561" s="12" t="s">
        <v>1446</v>
      </c>
      <c r="D561" s="12"/>
      <c r="E561" s="13">
        <v>-1152.5</v>
      </c>
    </row>
    <row r="562" spans="1:5" x14ac:dyDescent="0.25">
      <c r="A562" s="11">
        <v>45596</v>
      </c>
      <c r="B562" s="12" t="s">
        <v>1447</v>
      </c>
      <c r="C562" s="12" t="s">
        <v>1405</v>
      </c>
      <c r="D562" s="12"/>
      <c r="E562" s="13">
        <v>-60</v>
      </c>
    </row>
    <row r="563" spans="1:5" x14ac:dyDescent="0.25">
      <c r="A563" s="11">
        <v>45596</v>
      </c>
      <c r="B563" s="12" t="s">
        <v>1448</v>
      </c>
      <c r="C563" s="12" t="s">
        <v>1405</v>
      </c>
      <c r="D563" s="12"/>
      <c r="E563" s="13">
        <v>-60</v>
      </c>
    </row>
    <row r="564" spans="1:5" x14ac:dyDescent="0.25">
      <c r="A564" s="11">
        <v>45596</v>
      </c>
      <c r="B564" s="12" t="s">
        <v>1449</v>
      </c>
      <c r="C564" s="12" t="s">
        <v>1405</v>
      </c>
      <c r="D564" s="12"/>
      <c r="E564" s="13">
        <v>-60</v>
      </c>
    </row>
    <row r="565" spans="1:5" x14ac:dyDescent="0.25">
      <c r="A565" s="11">
        <v>45596</v>
      </c>
      <c r="B565" s="12" t="s">
        <v>1450</v>
      </c>
      <c r="C565" s="12" t="s">
        <v>1451</v>
      </c>
      <c r="D565" s="12"/>
      <c r="E565" s="13">
        <v>-60</v>
      </c>
    </row>
    <row r="566" spans="1:5" x14ac:dyDescent="0.25">
      <c r="A566" s="11">
        <v>45596</v>
      </c>
      <c r="B566" s="12" t="s">
        <v>1452</v>
      </c>
      <c r="C566" s="12" t="s">
        <v>1451</v>
      </c>
      <c r="D566" s="12"/>
      <c r="E566" s="13">
        <v>-35</v>
      </c>
    </row>
    <row r="567" spans="1:5" x14ac:dyDescent="0.25">
      <c r="A567" s="11">
        <v>45596</v>
      </c>
      <c r="B567" s="12" t="s">
        <v>1453</v>
      </c>
      <c r="C567" s="12" t="s">
        <v>1454</v>
      </c>
      <c r="D567" s="12"/>
      <c r="E567" s="13">
        <v>-85</v>
      </c>
    </row>
    <row r="568" spans="1:5" x14ac:dyDescent="0.25">
      <c r="A568" s="11">
        <v>45596</v>
      </c>
      <c r="B568" s="12" t="s">
        <v>1455</v>
      </c>
      <c r="C568" s="12" t="s">
        <v>1456</v>
      </c>
      <c r="D568" s="12"/>
      <c r="E568" s="13">
        <v>-70</v>
      </c>
    </row>
    <row r="569" spans="1:5" x14ac:dyDescent="0.25">
      <c r="A569" s="11">
        <v>45596</v>
      </c>
      <c r="B569" s="12" t="s">
        <v>1457</v>
      </c>
      <c r="C569" s="12" t="s">
        <v>1456</v>
      </c>
      <c r="D569" s="12"/>
      <c r="E569" s="13">
        <v>-25</v>
      </c>
    </row>
    <row r="570" spans="1:5" x14ac:dyDescent="0.25">
      <c r="A570" s="11">
        <v>45596</v>
      </c>
      <c r="B570" s="12" t="s">
        <v>1458</v>
      </c>
      <c r="C570" s="12" t="s">
        <v>1459</v>
      </c>
      <c r="D570" s="12"/>
      <c r="E570" s="13">
        <v>-65</v>
      </c>
    </row>
    <row r="571" spans="1:5" x14ac:dyDescent="0.25">
      <c r="A571" s="11">
        <v>45596</v>
      </c>
      <c r="B571" s="12" t="s">
        <v>1460</v>
      </c>
      <c r="C571" s="12" t="s">
        <v>1459</v>
      </c>
      <c r="D571" s="12"/>
      <c r="E571" s="13">
        <v>-40</v>
      </c>
    </row>
    <row r="572" spans="1:5" x14ac:dyDescent="0.25">
      <c r="A572" s="11">
        <v>45598</v>
      </c>
      <c r="B572" s="12" t="s">
        <v>1461</v>
      </c>
      <c r="C572" s="12" t="s">
        <v>1461</v>
      </c>
      <c r="D572" s="12"/>
      <c r="E572" s="13">
        <v>-18981</v>
      </c>
    </row>
    <row r="573" spans="1:5" x14ac:dyDescent="0.25">
      <c r="A573" s="11">
        <v>45626</v>
      </c>
      <c r="B573" s="12" t="s">
        <v>1462</v>
      </c>
      <c r="C573" s="12" t="s">
        <v>1463</v>
      </c>
      <c r="D573" s="12"/>
      <c r="E573" s="13">
        <v>-60</v>
      </c>
    </row>
    <row r="574" spans="1:5" x14ac:dyDescent="0.25">
      <c r="A574" s="11">
        <v>45626</v>
      </c>
      <c r="B574" s="12" t="s">
        <v>1464</v>
      </c>
      <c r="C574" s="12" t="s">
        <v>1465</v>
      </c>
      <c r="D574" s="12"/>
      <c r="E574" s="13">
        <v>-90</v>
      </c>
    </row>
    <row r="575" spans="1:5" x14ac:dyDescent="0.25">
      <c r="A575" s="11">
        <v>45626</v>
      </c>
      <c r="B575" s="12" t="s">
        <v>1466</v>
      </c>
      <c r="C575" s="12" t="s">
        <v>1329</v>
      </c>
      <c r="D575" s="12"/>
      <c r="E575" s="13">
        <v>-95</v>
      </c>
    </row>
    <row r="576" spans="1:5" x14ac:dyDescent="0.25">
      <c r="A576" s="11">
        <v>45626</v>
      </c>
      <c r="B576" s="12" t="s">
        <v>1467</v>
      </c>
      <c r="C576" s="12" t="s">
        <v>1468</v>
      </c>
      <c r="D576" s="12"/>
      <c r="E576" s="13">
        <v>-68</v>
      </c>
    </row>
    <row r="577" spans="1:5" x14ac:dyDescent="0.25">
      <c r="A577" s="11">
        <v>45626</v>
      </c>
      <c r="B577" s="12" t="s">
        <v>1469</v>
      </c>
      <c r="C577" s="12" t="s">
        <v>1470</v>
      </c>
      <c r="D577" s="12"/>
      <c r="E577" s="13">
        <v>-95</v>
      </c>
    </row>
    <row r="578" spans="1:5" x14ac:dyDescent="0.25">
      <c r="A578" s="11">
        <v>45626</v>
      </c>
      <c r="B578" s="12" t="s">
        <v>1471</v>
      </c>
      <c r="C578" s="12" t="s">
        <v>1472</v>
      </c>
      <c r="D578" s="12"/>
      <c r="E578" s="13">
        <v>-60</v>
      </c>
    </row>
    <row r="579" spans="1:5" x14ac:dyDescent="0.25">
      <c r="A579" s="11">
        <v>45626</v>
      </c>
      <c r="B579" s="12" t="s">
        <v>1473</v>
      </c>
      <c r="C579" s="12" t="s">
        <v>1474</v>
      </c>
      <c r="D579" s="12"/>
      <c r="E579" s="13">
        <v>-60</v>
      </c>
    </row>
    <row r="580" spans="1:5" x14ac:dyDescent="0.25">
      <c r="A580" s="11">
        <v>45626</v>
      </c>
      <c r="B580" s="12" t="s">
        <v>1475</v>
      </c>
      <c r="C580" s="12" t="s">
        <v>1474</v>
      </c>
      <c r="D580" s="12"/>
      <c r="E580" s="13">
        <v>-150</v>
      </c>
    </row>
    <row r="581" spans="1:5" x14ac:dyDescent="0.25">
      <c r="A581" s="11">
        <v>45626</v>
      </c>
      <c r="B581" s="12" t="s">
        <v>1476</v>
      </c>
      <c r="C581" s="12" t="s">
        <v>1472</v>
      </c>
      <c r="D581" s="12"/>
      <c r="E581" s="13">
        <v>-60</v>
      </c>
    </row>
    <row r="582" spans="1:5" x14ac:dyDescent="0.25">
      <c r="A582" s="11">
        <v>45626</v>
      </c>
      <c r="B582" s="12" t="s">
        <v>1477</v>
      </c>
      <c r="C582" s="12" t="s">
        <v>1472</v>
      </c>
      <c r="D582" s="12"/>
      <c r="E582" s="13">
        <v>-150</v>
      </c>
    </row>
    <row r="583" spans="1:5" x14ac:dyDescent="0.25">
      <c r="A583" s="11">
        <v>45626</v>
      </c>
      <c r="B583" s="12" t="s">
        <v>1478</v>
      </c>
      <c r="C583" s="12" t="s">
        <v>1472</v>
      </c>
      <c r="D583" s="12"/>
      <c r="E583" s="13">
        <v>-60</v>
      </c>
    </row>
    <row r="584" spans="1:5" x14ac:dyDescent="0.25">
      <c r="A584" s="11">
        <v>45626</v>
      </c>
      <c r="B584" s="12" t="s">
        <v>1479</v>
      </c>
      <c r="C584" s="12" t="s">
        <v>1472</v>
      </c>
      <c r="D584" s="12"/>
      <c r="E584" s="13">
        <v>-70</v>
      </c>
    </row>
    <row r="585" spans="1:5" x14ac:dyDescent="0.25">
      <c r="A585" s="11">
        <v>45626</v>
      </c>
      <c r="B585" s="12" t="s">
        <v>527</v>
      </c>
      <c r="C585" s="12" t="s">
        <v>1474</v>
      </c>
      <c r="D585" s="12"/>
      <c r="E585" s="13">
        <v>-60</v>
      </c>
    </row>
    <row r="586" spans="1:5" x14ac:dyDescent="0.25">
      <c r="A586" s="11">
        <v>45626</v>
      </c>
      <c r="B586" s="12" t="s">
        <v>529</v>
      </c>
      <c r="C586" s="12" t="s">
        <v>1480</v>
      </c>
      <c r="D586" s="12"/>
      <c r="E586" s="13">
        <v>-90</v>
      </c>
    </row>
    <row r="587" spans="1:5" x14ac:dyDescent="0.25">
      <c r="A587" s="11">
        <v>45626</v>
      </c>
      <c r="B587" s="12" t="s">
        <v>1481</v>
      </c>
      <c r="C587" s="12" t="s">
        <v>1482</v>
      </c>
      <c r="D587" s="12"/>
      <c r="E587" s="13">
        <v>-60</v>
      </c>
    </row>
    <row r="588" spans="1:5" x14ac:dyDescent="0.25">
      <c r="A588" s="11">
        <v>45626</v>
      </c>
      <c r="B588" s="12" t="s">
        <v>1483</v>
      </c>
      <c r="C588" s="12" t="s">
        <v>1484</v>
      </c>
      <c r="D588" s="12"/>
      <c r="E588" s="13">
        <v>-50</v>
      </c>
    </row>
    <row r="589" spans="1:5" x14ac:dyDescent="0.25">
      <c r="A589" s="11">
        <v>45626</v>
      </c>
      <c r="B589" s="12" t="s">
        <v>1485</v>
      </c>
      <c r="C589" s="12" t="s">
        <v>1486</v>
      </c>
      <c r="D589" s="12"/>
      <c r="E589" s="13">
        <v>-90</v>
      </c>
    </row>
    <row r="590" spans="1:5" x14ac:dyDescent="0.25">
      <c r="A590" s="11">
        <v>45626</v>
      </c>
      <c r="B590" s="12" t="s">
        <v>1487</v>
      </c>
      <c r="C590" s="12" t="s">
        <v>1484</v>
      </c>
      <c r="D590" s="12"/>
      <c r="E590" s="13">
        <v>-70</v>
      </c>
    </row>
    <row r="591" spans="1:5" x14ac:dyDescent="0.25">
      <c r="A591" s="11">
        <v>45626</v>
      </c>
      <c r="B591" s="12" t="s">
        <v>1488</v>
      </c>
      <c r="C591" s="12" t="s">
        <v>1484</v>
      </c>
      <c r="D591" s="12"/>
      <c r="E591" s="13">
        <v>-20</v>
      </c>
    </row>
    <row r="592" spans="1:5" x14ac:dyDescent="0.25">
      <c r="A592" s="11">
        <v>45626</v>
      </c>
      <c r="B592" s="12" t="s">
        <v>1489</v>
      </c>
      <c r="C592" s="12" t="s">
        <v>1490</v>
      </c>
      <c r="D592" s="12"/>
      <c r="E592" s="13">
        <v>-140</v>
      </c>
    </row>
    <row r="593" spans="1:5" x14ac:dyDescent="0.25">
      <c r="A593" s="11">
        <v>45626</v>
      </c>
      <c r="B593" s="12" t="s">
        <v>1491</v>
      </c>
      <c r="C593" s="12" t="s">
        <v>1484</v>
      </c>
      <c r="D593" s="12"/>
      <c r="E593" s="13">
        <v>-50</v>
      </c>
    </row>
    <row r="594" spans="1:5" x14ac:dyDescent="0.25">
      <c r="A594" s="11">
        <v>45626</v>
      </c>
      <c r="B594" s="12" t="s">
        <v>1492</v>
      </c>
      <c r="C594" s="12" t="s">
        <v>1484</v>
      </c>
      <c r="D594" s="12"/>
      <c r="E594" s="13">
        <v>-30</v>
      </c>
    </row>
    <row r="595" spans="1:5" x14ac:dyDescent="0.25">
      <c r="A595" s="11">
        <v>45626</v>
      </c>
      <c r="B595" s="12" t="s">
        <v>1493</v>
      </c>
      <c r="C595" s="12" t="s">
        <v>1494</v>
      </c>
      <c r="D595" s="12"/>
      <c r="E595" s="13">
        <v>-70</v>
      </c>
    </row>
    <row r="596" spans="1:5" x14ac:dyDescent="0.25">
      <c r="A596" s="11">
        <v>45626</v>
      </c>
      <c r="B596" s="12" t="s">
        <v>1495</v>
      </c>
      <c r="C596" s="12" t="s">
        <v>1494</v>
      </c>
      <c r="D596" s="12"/>
      <c r="E596" s="13">
        <v>-50</v>
      </c>
    </row>
    <row r="597" spans="1:5" x14ac:dyDescent="0.25">
      <c r="A597" s="11">
        <v>45626</v>
      </c>
      <c r="B597" s="12" t="s">
        <v>1496</v>
      </c>
      <c r="C597" s="12" t="s">
        <v>1474</v>
      </c>
      <c r="D597" s="12"/>
      <c r="E597" s="13">
        <v>-60</v>
      </c>
    </row>
    <row r="598" spans="1:5" x14ac:dyDescent="0.25">
      <c r="A598" s="11">
        <v>45626</v>
      </c>
      <c r="B598" s="12" t="s">
        <v>1497</v>
      </c>
      <c r="C598" s="12" t="s">
        <v>1498</v>
      </c>
      <c r="D598" s="12"/>
      <c r="E598" s="13">
        <v>-60</v>
      </c>
    </row>
    <row r="599" spans="1:5" x14ac:dyDescent="0.25">
      <c r="A599" s="11">
        <v>45626</v>
      </c>
      <c r="B599" s="12" t="s">
        <v>1499</v>
      </c>
      <c r="C599" s="12" t="s">
        <v>1500</v>
      </c>
      <c r="D599" s="12"/>
      <c r="E599" s="13">
        <v>-80</v>
      </c>
    </row>
    <row r="600" spans="1:5" x14ac:dyDescent="0.25">
      <c r="A600" s="11">
        <v>45626</v>
      </c>
      <c r="B600" s="12" t="s">
        <v>1501</v>
      </c>
      <c r="C600" s="12" t="s">
        <v>1502</v>
      </c>
      <c r="D600" s="12"/>
      <c r="E600" s="13">
        <v>-110</v>
      </c>
    </row>
    <row r="601" spans="1:5" x14ac:dyDescent="0.25">
      <c r="A601" s="11">
        <v>45626</v>
      </c>
      <c r="B601" s="12" t="s">
        <v>1503</v>
      </c>
      <c r="C601" s="12" t="s">
        <v>1504</v>
      </c>
      <c r="D601" s="12"/>
      <c r="E601" s="13">
        <v>-300</v>
      </c>
    </row>
    <row r="602" spans="1:5" x14ac:dyDescent="0.25">
      <c r="A602" s="11">
        <v>45626</v>
      </c>
      <c r="B602" s="12" t="s">
        <v>1505</v>
      </c>
      <c r="C602" s="12" t="s">
        <v>1474</v>
      </c>
      <c r="D602" s="12"/>
      <c r="E602" s="13">
        <v>-60</v>
      </c>
    </row>
    <row r="603" spans="1:5" x14ac:dyDescent="0.25">
      <c r="A603" s="11">
        <v>45626</v>
      </c>
      <c r="B603" s="12" t="s">
        <v>1506</v>
      </c>
      <c r="C603" s="12" t="s">
        <v>1474</v>
      </c>
      <c r="D603" s="12"/>
      <c r="E603" s="13">
        <v>-60</v>
      </c>
    </row>
    <row r="604" spans="1:5" x14ac:dyDescent="0.25">
      <c r="A604" s="11">
        <v>45626</v>
      </c>
      <c r="B604" s="12" t="s">
        <v>1507</v>
      </c>
      <c r="C604" s="12" t="s">
        <v>1474</v>
      </c>
      <c r="D604" s="12"/>
      <c r="E604" s="13">
        <v>-60</v>
      </c>
    </row>
    <row r="605" spans="1:5" x14ac:dyDescent="0.25">
      <c r="A605" s="11">
        <v>45626</v>
      </c>
      <c r="B605" s="12" t="s">
        <v>1508</v>
      </c>
      <c r="C605" s="12" t="s">
        <v>1474</v>
      </c>
      <c r="D605" s="12"/>
      <c r="E605" s="13">
        <v>-150</v>
      </c>
    </row>
    <row r="606" spans="1:5" x14ac:dyDescent="0.25">
      <c r="A606" s="11">
        <v>45626</v>
      </c>
      <c r="B606" s="12" t="s">
        <v>1509</v>
      </c>
      <c r="C606" s="12" t="s">
        <v>1474</v>
      </c>
      <c r="D606" s="12"/>
      <c r="E606" s="13">
        <v>-60</v>
      </c>
    </row>
    <row r="607" spans="1:5" x14ac:dyDescent="0.25">
      <c r="A607" s="11">
        <v>45626</v>
      </c>
      <c r="B607" s="12" t="s">
        <v>1510</v>
      </c>
      <c r="C607" s="12" t="s">
        <v>1504</v>
      </c>
      <c r="D607" s="12"/>
      <c r="E607" s="13">
        <v>-480</v>
      </c>
    </row>
    <row r="608" spans="1:5" x14ac:dyDescent="0.25">
      <c r="A608" s="11">
        <v>45626</v>
      </c>
      <c r="B608" s="12" t="s">
        <v>1511</v>
      </c>
      <c r="C608" s="12" t="s">
        <v>1512</v>
      </c>
      <c r="D608" s="12"/>
      <c r="E608" s="13">
        <v>-70</v>
      </c>
    </row>
    <row r="609" spans="1:5" x14ac:dyDescent="0.25">
      <c r="A609" s="11">
        <v>45626</v>
      </c>
      <c r="B609" s="12" t="s">
        <v>1513</v>
      </c>
      <c r="C609" s="12" t="s">
        <v>1512</v>
      </c>
      <c r="D609" s="12"/>
      <c r="E609" s="13">
        <v>-60</v>
      </c>
    </row>
    <row r="610" spans="1:5" x14ac:dyDescent="0.25">
      <c r="A610" s="11">
        <v>45626</v>
      </c>
      <c r="B610" s="12" t="s">
        <v>1514</v>
      </c>
      <c r="C610" s="12" t="s">
        <v>1515</v>
      </c>
      <c r="D610" s="12"/>
      <c r="E610" s="13">
        <v>-60</v>
      </c>
    </row>
    <row r="611" spans="1:5" x14ac:dyDescent="0.25">
      <c r="A611" s="11">
        <v>45657</v>
      </c>
      <c r="B611" s="12" t="s">
        <v>1516</v>
      </c>
      <c r="C611" s="12" t="s">
        <v>1517</v>
      </c>
      <c r="D611" s="12"/>
      <c r="E611" s="13">
        <v>-60</v>
      </c>
    </row>
    <row r="612" spans="1:5" x14ac:dyDescent="0.25">
      <c r="A612" s="11">
        <v>45657</v>
      </c>
      <c r="B612" s="12" t="s">
        <v>1518</v>
      </c>
      <c r="C612" s="12" t="s">
        <v>1494</v>
      </c>
      <c r="D612" s="12"/>
      <c r="E612" s="13">
        <v>-60</v>
      </c>
    </row>
    <row r="613" spans="1:5" x14ac:dyDescent="0.25">
      <c r="A613" s="11">
        <v>45657</v>
      </c>
      <c r="B613" s="12" t="s">
        <v>689</v>
      </c>
      <c r="C613" s="12" t="s">
        <v>1517</v>
      </c>
      <c r="D613" s="12"/>
      <c r="E613" s="13">
        <v>-60</v>
      </c>
    </row>
    <row r="614" spans="1:5" x14ac:dyDescent="0.25">
      <c r="A614" s="11">
        <v>45657</v>
      </c>
      <c r="B614" s="12" t="s">
        <v>687</v>
      </c>
      <c r="C614" s="12" t="s">
        <v>1517</v>
      </c>
      <c r="D614" s="12"/>
      <c r="E614" s="13">
        <v>-90</v>
      </c>
    </row>
    <row r="615" spans="1:5" x14ac:dyDescent="0.25">
      <c r="A615" s="11">
        <v>45657</v>
      </c>
      <c r="B615" s="12" t="s">
        <v>690</v>
      </c>
      <c r="C615" s="12" t="s">
        <v>1517</v>
      </c>
      <c r="D615" s="12"/>
      <c r="E615" s="13">
        <v>-150</v>
      </c>
    </row>
    <row r="616" spans="1:5" x14ac:dyDescent="0.25">
      <c r="A616" s="11">
        <v>45657</v>
      </c>
      <c r="B616" s="12" t="s">
        <v>1519</v>
      </c>
      <c r="C616" s="12" t="s">
        <v>1517</v>
      </c>
      <c r="D616" s="12"/>
      <c r="E616" s="13">
        <v>-60</v>
      </c>
    </row>
    <row r="617" spans="1:5" x14ac:dyDescent="0.25">
      <c r="A617" s="11">
        <v>45657</v>
      </c>
      <c r="B617" s="12" t="s">
        <v>1520</v>
      </c>
      <c r="C617" s="12" t="s">
        <v>1521</v>
      </c>
      <c r="D617" s="12"/>
      <c r="E617" s="13">
        <v>-55</v>
      </c>
    </row>
    <row r="618" spans="1:5" x14ac:dyDescent="0.25">
      <c r="A618" s="11">
        <v>45657</v>
      </c>
      <c r="B618" s="12" t="s">
        <v>1522</v>
      </c>
      <c r="C618" s="12" t="s">
        <v>1521</v>
      </c>
      <c r="D618" s="12"/>
      <c r="E618" s="13">
        <v>-70</v>
      </c>
    </row>
    <row r="619" spans="1:5" x14ac:dyDescent="0.25">
      <c r="A619" s="11">
        <v>45657</v>
      </c>
      <c r="B619" s="12" t="s">
        <v>1523</v>
      </c>
      <c r="C619" s="12" t="s">
        <v>1521</v>
      </c>
      <c r="D619" s="12"/>
      <c r="E619" s="13">
        <v>-85</v>
      </c>
    </row>
    <row r="620" spans="1:5" x14ac:dyDescent="0.25">
      <c r="A620" s="11">
        <v>45657</v>
      </c>
      <c r="B620" s="12" t="s">
        <v>1524</v>
      </c>
      <c r="C620" s="12" t="s">
        <v>1521</v>
      </c>
      <c r="D620" s="12"/>
      <c r="E620" s="13">
        <v>-180</v>
      </c>
    </row>
    <row r="621" spans="1:5" x14ac:dyDescent="0.25">
      <c r="A621" s="11">
        <v>45657</v>
      </c>
      <c r="B621" s="12" t="s">
        <v>1525</v>
      </c>
      <c r="C621" s="12" t="s">
        <v>1494</v>
      </c>
      <c r="D621" s="12"/>
      <c r="E621" s="13">
        <v>-45</v>
      </c>
    </row>
    <row r="622" spans="1:5" x14ac:dyDescent="0.25">
      <c r="A622" s="11">
        <v>45657</v>
      </c>
      <c r="B622" s="12" t="s">
        <v>1526</v>
      </c>
      <c r="C622" s="12" t="s">
        <v>1494</v>
      </c>
      <c r="D622" s="12"/>
      <c r="E622" s="13">
        <v>-40</v>
      </c>
    </row>
    <row r="623" spans="1:5" x14ac:dyDescent="0.25">
      <c r="A623" s="11">
        <v>45657</v>
      </c>
      <c r="B623" s="12" t="s">
        <v>1527</v>
      </c>
      <c r="C623" s="12" t="s">
        <v>1494</v>
      </c>
      <c r="D623" s="12"/>
      <c r="E623" s="13">
        <v>-60</v>
      </c>
    </row>
    <row r="624" spans="1:5" x14ac:dyDescent="0.25">
      <c r="A624" s="11">
        <v>45657</v>
      </c>
      <c r="B624" s="12" t="s">
        <v>1528</v>
      </c>
      <c r="C624" s="12" t="s">
        <v>1494</v>
      </c>
      <c r="D624" s="12"/>
      <c r="E624" s="13">
        <v>-90</v>
      </c>
    </row>
    <row r="625" spans="1:5" x14ac:dyDescent="0.25">
      <c r="A625" s="11">
        <v>45657</v>
      </c>
      <c r="B625" s="12" t="s">
        <v>699</v>
      </c>
      <c r="C625" s="12" t="s">
        <v>1517</v>
      </c>
      <c r="D625" s="12"/>
      <c r="E625" s="13">
        <v>-60</v>
      </c>
    </row>
    <row r="626" spans="1:5" x14ac:dyDescent="0.25">
      <c r="A626" s="11">
        <v>45657</v>
      </c>
      <c r="B626" s="12" t="s">
        <v>691</v>
      </c>
      <c r="C626" s="12" t="s">
        <v>1517</v>
      </c>
      <c r="D626" s="12"/>
      <c r="E626" s="13">
        <v>-80</v>
      </c>
    </row>
    <row r="627" spans="1:5" x14ac:dyDescent="0.25">
      <c r="A627" s="11">
        <v>45657</v>
      </c>
      <c r="B627" s="12" t="s">
        <v>692</v>
      </c>
      <c r="C627" s="12" t="s">
        <v>1517</v>
      </c>
      <c r="D627" s="12"/>
      <c r="E627" s="13">
        <v>-60</v>
      </c>
    </row>
    <row r="628" spans="1:5" x14ac:dyDescent="0.25">
      <c r="A628" s="11">
        <v>45657</v>
      </c>
      <c r="B628" s="12" t="s">
        <v>694</v>
      </c>
      <c r="C628" s="12" t="s">
        <v>1517</v>
      </c>
      <c r="D628" s="12"/>
      <c r="E628" s="13">
        <v>-60</v>
      </c>
    </row>
    <row r="629" spans="1:5" x14ac:dyDescent="0.25">
      <c r="A629" s="11">
        <v>45657</v>
      </c>
      <c r="B629" s="12" t="s">
        <v>695</v>
      </c>
      <c r="C629" s="12" t="s">
        <v>1517</v>
      </c>
      <c r="D629" s="12"/>
      <c r="E629" s="13">
        <v>-50</v>
      </c>
    </row>
    <row r="630" spans="1:5" x14ac:dyDescent="0.25">
      <c r="A630" s="11">
        <v>45657</v>
      </c>
      <c r="B630" s="12" t="s">
        <v>696</v>
      </c>
      <c r="C630" s="12" t="s">
        <v>1517</v>
      </c>
      <c r="D630" s="12"/>
      <c r="E630" s="13">
        <v>-35</v>
      </c>
    </row>
    <row r="631" spans="1:5" x14ac:dyDescent="0.25">
      <c r="A631" s="11">
        <v>45657</v>
      </c>
      <c r="B631" s="12" t="s">
        <v>697</v>
      </c>
      <c r="C631" s="12" t="s">
        <v>1517</v>
      </c>
      <c r="D631" s="12"/>
      <c r="E631" s="13">
        <v>-150</v>
      </c>
    </row>
    <row r="632" spans="1:5" x14ac:dyDescent="0.25">
      <c r="A632" s="11">
        <v>45657</v>
      </c>
      <c r="B632" s="12" t="s">
        <v>698</v>
      </c>
      <c r="C632" s="12" t="s">
        <v>1517</v>
      </c>
      <c r="D632" s="12"/>
      <c r="E632" s="13">
        <v>-150</v>
      </c>
    </row>
    <row r="633" spans="1:5" x14ac:dyDescent="0.25">
      <c r="A633" s="11">
        <v>45657</v>
      </c>
      <c r="B633" s="12" t="s">
        <v>1529</v>
      </c>
      <c r="C633" s="12" t="s">
        <v>1530</v>
      </c>
      <c r="D633" s="12"/>
      <c r="E633" s="13">
        <v>-85</v>
      </c>
    </row>
    <row r="634" spans="1:5" x14ac:dyDescent="0.25">
      <c r="A634" s="11">
        <v>45657</v>
      </c>
      <c r="B634" s="12" t="s">
        <v>1531</v>
      </c>
      <c r="C634" s="12" t="s">
        <v>1532</v>
      </c>
      <c r="D634" s="12"/>
      <c r="E634" s="13">
        <v>-40</v>
      </c>
    </row>
    <row r="635" spans="1:5" x14ac:dyDescent="0.25">
      <c r="A635" s="11">
        <v>45657</v>
      </c>
      <c r="B635" s="12" t="s">
        <v>1533</v>
      </c>
      <c r="C635" s="12" t="s">
        <v>1474</v>
      </c>
      <c r="D635" s="12"/>
      <c r="E635" s="13">
        <v>-60</v>
      </c>
    </row>
    <row r="636" spans="1:5" x14ac:dyDescent="0.25">
      <c r="A636" s="11">
        <v>45657</v>
      </c>
      <c r="B636" s="12" t="s">
        <v>1534</v>
      </c>
      <c r="C636" s="12" t="s">
        <v>1535</v>
      </c>
      <c r="D636" s="12"/>
      <c r="E636" s="13">
        <v>-60</v>
      </c>
    </row>
    <row r="637" spans="1:5" x14ac:dyDescent="0.25">
      <c r="A637" s="11">
        <v>45657</v>
      </c>
      <c r="B637" s="12" t="s">
        <v>1536</v>
      </c>
      <c r="C637" s="12" t="s">
        <v>1535</v>
      </c>
      <c r="D637" s="12"/>
      <c r="E637" s="13">
        <v>-40</v>
      </c>
    </row>
    <row r="638" spans="1:5" x14ac:dyDescent="0.25">
      <c r="A638" s="11">
        <v>45657</v>
      </c>
      <c r="B638" s="12" t="s">
        <v>1537</v>
      </c>
      <c r="C638" s="12" t="s">
        <v>1532</v>
      </c>
      <c r="D638" s="12"/>
      <c r="E638" s="13">
        <v>-20</v>
      </c>
    </row>
    <row r="639" spans="1:5" x14ac:dyDescent="0.25">
      <c r="A639" s="11">
        <v>45657</v>
      </c>
      <c r="B639" s="12" t="s">
        <v>1538</v>
      </c>
      <c r="C639" s="12" t="s">
        <v>1474</v>
      </c>
      <c r="D639" s="12"/>
      <c r="E639" s="13">
        <v>-60</v>
      </c>
    </row>
    <row r="640" spans="1:5" x14ac:dyDescent="0.25">
      <c r="A640" s="11">
        <v>45657</v>
      </c>
      <c r="B640" s="12" t="s">
        <v>1539</v>
      </c>
      <c r="C640" s="12" t="s">
        <v>1474</v>
      </c>
      <c r="D640" s="12"/>
      <c r="E640" s="13">
        <v>-110</v>
      </c>
    </row>
    <row r="641" spans="1:5" x14ac:dyDescent="0.25">
      <c r="A641" s="11">
        <v>45657</v>
      </c>
      <c r="B641" s="12" t="s">
        <v>1540</v>
      </c>
      <c r="C641" s="12" t="s">
        <v>1535</v>
      </c>
      <c r="D641" s="12"/>
      <c r="E641" s="13">
        <v>-70</v>
      </c>
    </row>
    <row r="642" spans="1:5" x14ac:dyDescent="0.25">
      <c r="A642" s="11">
        <v>45657</v>
      </c>
      <c r="B642" s="12" t="s">
        <v>1541</v>
      </c>
      <c r="C642" s="12" t="s">
        <v>1474</v>
      </c>
      <c r="D642" s="12"/>
      <c r="E642" s="13">
        <v>-60</v>
      </c>
    </row>
    <row r="643" spans="1:5" x14ac:dyDescent="0.25">
      <c r="A643" s="11">
        <v>45657</v>
      </c>
      <c r="B643" s="12" t="s">
        <v>1542</v>
      </c>
      <c r="C643" s="12" t="s">
        <v>1474</v>
      </c>
      <c r="D643" s="12"/>
      <c r="E643" s="13">
        <v>-60</v>
      </c>
    </row>
    <row r="644" spans="1:5" x14ac:dyDescent="0.25">
      <c r="A644" s="11">
        <v>45657</v>
      </c>
      <c r="B644" s="12" t="s">
        <v>1543</v>
      </c>
      <c r="C644" s="12" t="s">
        <v>1474</v>
      </c>
      <c r="D644" s="12"/>
      <c r="E644" s="13">
        <v>-150</v>
      </c>
    </row>
    <row r="645" spans="1:5" x14ac:dyDescent="0.25">
      <c r="A645" s="11">
        <v>45657</v>
      </c>
      <c r="B645" s="12" t="s">
        <v>1544</v>
      </c>
      <c r="C645" s="12" t="s">
        <v>1474</v>
      </c>
      <c r="D645" s="12"/>
      <c r="E645" s="13">
        <v>-165</v>
      </c>
    </row>
    <row r="646" spans="1:5" x14ac:dyDescent="0.25">
      <c r="A646" s="11">
        <v>45657</v>
      </c>
      <c r="B646" s="12" t="s">
        <v>1545</v>
      </c>
      <c r="C646" s="12" t="s">
        <v>1535</v>
      </c>
      <c r="D646" s="12"/>
      <c r="E646" s="13">
        <v>-150</v>
      </c>
    </row>
    <row r="647" spans="1:5" x14ac:dyDescent="0.25">
      <c r="A647" s="11">
        <v>45657</v>
      </c>
      <c r="B647" s="12" t="s">
        <v>1546</v>
      </c>
      <c r="C647" s="12" t="s">
        <v>1535</v>
      </c>
      <c r="D647" s="12"/>
      <c r="E647" s="13">
        <v>-60</v>
      </c>
    </row>
    <row r="648" spans="1:5" x14ac:dyDescent="0.25">
      <c r="A648" s="11">
        <v>45657</v>
      </c>
      <c r="B648" s="12" t="s">
        <v>1547</v>
      </c>
      <c r="C648" s="12" t="s">
        <v>1535</v>
      </c>
      <c r="D648" s="12"/>
      <c r="E648" s="13">
        <v>-70</v>
      </c>
    </row>
    <row r="649" spans="1:5" x14ac:dyDescent="0.25">
      <c r="A649" s="11">
        <v>45657</v>
      </c>
      <c r="B649" s="12" t="s">
        <v>1548</v>
      </c>
      <c r="C649" s="12" t="s">
        <v>1474</v>
      </c>
      <c r="D649" s="12"/>
      <c r="E649" s="13">
        <v>-150</v>
      </c>
    </row>
    <row r="650" spans="1:5" x14ac:dyDescent="0.25">
      <c r="A650" s="11">
        <v>45657</v>
      </c>
      <c r="B650" s="12" t="s">
        <v>1549</v>
      </c>
      <c r="C650" s="12" t="s">
        <v>1474</v>
      </c>
      <c r="D650" s="12"/>
      <c r="E650" s="13">
        <v>-60</v>
      </c>
    </row>
    <row r="651" spans="1:5" x14ac:dyDescent="0.25">
      <c r="A651" s="11">
        <v>45657</v>
      </c>
      <c r="B651" s="12" t="s">
        <v>1550</v>
      </c>
      <c r="C651" s="12" t="s">
        <v>1474</v>
      </c>
      <c r="D651" s="12"/>
      <c r="E651" s="13">
        <v>-60</v>
      </c>
    </row>
    <row r="652" spans="1:5" x14ac:dyDescent="0.25">
      <c r="A652" s="11">
        <v>45657</v>
      </c>
      <c r="B652" s="12" t="s">
        <v>1551</v>
      </c>
      <c r="C652" s="12" t="s">
        <v>1474</v>
      </c>
      <c r="D652" s="12"/>
      <c r="E652" s="13">
        <v>-45</v>
      </c>
    </row>
    <row r="653" spans="1:5" x14ac:dyDescent="0.25">
      <c r="A653" s="11">
        <v>45657</v>
      </c>
      <c r="B653" s="12" t="s">
        <v>1552</v>
      </c>
      <c r="C653" s="12" t="s">
        <v>1465</v>
      </c>
      <c r="D653" s="12"/>
      <c r="E653" s="13">
        <v>-30</v>
      </c>
    </row>
    <row r="654" spans="1:5" x14ac:dyDescent="0.25">
      <c r="A654" s="11">
        <v>45657</v>
      </c>
      <c r="B654" s="12" t="s">
        <v>1553</v>
      </c>
      <c r="C654" s="12" t="s">
        <v>1465</v>
      </c>
      <c r="D654" s="12"/>
      <c r="E654" s="13">
        <v>-35</v>
      </c>
    </row>
    <row r="655" spans="1:5" x14ac:dyDescent="0.25">
      <c r="A655" s="11">
        <v>45657</v>
      </c>
      <c r="B655" s="12" t="s">
        <v>1554</v>
      </c>
      <c r="C655" s="12" t="s">
        <v>1530</v>
      </c>
      <c r="D655" s="12"/>
      <c r="E655" s="13">
        <v>-60</v>
      </c>
    </row>
    <row r="656" spans="1:5" x14ac:dyDescent="0.25">
      <c r="A656" s="11">
        <v>45657</v>
      </c>
      <c r="B656" s="12" t="s">
        <v>1555</v>
      </c>
      <c r="C656" s="12" t="s">
        <v>1530</v>
      </c>
      <c r="D656" s="12"/>
      <c r="E656" s="13">
        <v>-70</v>
      </c>
    </row>
    <row r="657" spans="1:5" x14ac:dyDescent="0.25">
      <c r="A657" s="11">
        <v>45657</v>
      </c>
      <c r="B657" s="12" t="s">
        <v>1556</v>
      </c>
      <c r="C657" s="12" t="s">
        <v>1557</v>
      </c>
      <c r="D657" s="12"/>
      <c r="E657" s="13">
        <v>-60</v>
      </c>
    </row>
    <row r="658" spans="1:5" x14ac:dyDescent="0.25">
      <c r="A658" s="11">
        <v>45657</v>
      </c>
      <c r="B658" s="12" t="s">
        <v>1558</v>
      </c>
      <c r="C658" s="12" t="s">
        <v>1530</v>
      </c>
      <c r="D658" s="12"/>
      <c r="E658" s="13">
        <v>-60</v>
      </c>
    </row>
    <row r="659" spans="1:5" x14ac:dyDescent="0.25">
      <c r="A659" s="11">
        <v>45657</v>
      </c>
      <c r="B659" s="12" t="s">
        <v>1559</v>
      </c>
      <c r="C659" s="12" t="s">
        <v>1530</v>
      </c>
      <c r="D659" s="12"/>
      <c r="E659" s="13">
        <v>-150</v>
      </c>
    </row>
    <row r="660" spans="1:5" x14ac:dyDescent="0.25">
      <c r="A660" s="11">
        <v>45657</v>
      </c>
      <c r="B660" s="12" t="s">
        <v>1560</v>
      </c>
      <c r="C660" s="12" t="s">
        <v>1530</v>
      </c>
      <c r="D660" s="12"/>
      <c r="E660" s="13">
        <v>-100</v>
      </c>
    </row>
    <row r="661" spans="1:5" x14ac:dyDescent="0.25">
      <c r="A661" s="11">
        <v>45657</v>
      </c>
      <c r="B661" s="12" t="s">
        <v>1561</v>
      </c>
      <c r="C661" s="12" t="s">
        <v>1530</v>
      </c>
      <c r="D661" s="12"/>
      <c r="E661" s="13">
        <v>-60</v>
      </c>
    </row>
    <row r="662" spans="1:5" x14ac:dyDescent="0.25">
      <c r="A662" s="11">
        <v>45657</v>
      </c>
      <c r="B662" s="12" t="s">
        <v>1562</v>
      </c>
      <c r="C662" s="12" t="s">
        <v>1530</v>
      </c>
      <c r="D662" s="12"/>
      <c r="E662" s="13">
        <v>-85</v>
      </c>
    </row>
    <row r="663" spans="1:5" x14ac:dyDescent="0.25">
      <c r="A663" s="11">
        <v>45657</v>
      </c>
      <c r="B663" s="12" t="s">
        <v>650</v>
      </c>
      <c r="C663" s="12" t="s">
        <v>1563</v>
      </c>
      <c r="D663" s="12"/>
      <c r="E663" s="13">
        <v>-30</v>
      </c>
    </row>
    <row r="664" spans="1:5" x14ac:dyDescent="0.25">
      <c r="A664" s="11">
        <v>45657</v>
      </c>
      <c r="B664" s="12" t="s">
        <v>1564</v>
      </c>
      <c r="C664" s="12" t="s">
        <v>1565</v>
      </c>
      <c r="D664" s="12"/>
      <c r="E664" s="13">
        <v>-35</v>
      </c>
    </row>
    <row r="665" spans="1:5" x14ac:dyDescent="0.25">
      <c r="A665" s="11">
        <v>45657</v>
      </c>
      <c r="B665" s="12" t="s">
        <v>1566</v>
      </c>
      <c r="C665" s="12" t="s">
        <v>1530</v>
      </c>
      <c r="D665" s="12"/>
      <c r="E665" s="13">
        <v>-60</v>
      </c>
    </row>
    <row r="666" spans="1:5" x14ac:dyDescent="0.25">
      <c r="A666" s="11">
        <v>45657</v>
      </c>
      <c r="B666" s="12" t="s">
        <v>1567</v>
      </c>
      <c r="C666" s="12" t="s">
        <v>1530</v>
      </c>
      <c r="D666" s="12"/>
      <c r="E666" s="13">
        <v>-270</v>
      </c>
    </row>
    <row r="667" spans="1:5" x14ac:dyDescent="0.25">
      <c r="A667" s="11">
        <v>45657</v>
      </c>
      <c r="B667" s="12" t="s">
        <v>1568</v>
      </c>
      <c r="C667" s="12" t="s">
        <v>1530</v>
      </c>
      <c r="D667" s="12"/>
      <c r="E667" s="13">
        <v>-60</v>
      </c>
    </row>
    <row r="668" spans="1:5" x14ac:dyDescent="0.25">
      <c r="A668" s="11">
        <v>45657</v>
      </c>
      <c r="B668" s="12" t="s">
        <v>1569</v>
      </c>
      <c r="C668" s="12" t="s">
        <v>1530</v>
      </c>
      <c r="D668" s="12"/>
      <c r="E668" s="13">
        <v>-110</v>
      </c>
    </row>
    <row r="669" spans="1:5" x14ac:dyDescent="0.25">
      <c r="A669" s="11">
        <v>45657</v>
      </c>
      <c r="B669" s="12" t="s">
        <v>1570</v>
      </c>
      <c r="C669" s="12" t="s">
        <v>1530</v>
      </c>
      <c r="D669" s="12"/>
      <c r="E669" s="13">
        <v>-110</v>
      </c>
    </row>
    <row r="670" spans="1:5" x14ac:dyDescent="0.25">
      <c r="A670" s="11">
        <v>45657</v>
      </c>
      <c r="B670" s="12" t="s">
        <v>1571</v>
      </c>
      <c r="C670" s="12" t="s">
        <v>1530</v>
      </c>
      <c r="D670" s="12"/>
      <c r="E670" s="13">
        <v>-80</v>
      </c>
    </row>
    <row r="671" spans="1:5" x14ac:dyDescent="0.25">
      <c r="A671" s="11">
        <v>45688</v>
      </c>
      <c r="B671" s="12" t="s">
        <v>1572</v>
      </c>
      <c r="C671" s="12" t="s">
        <v>1573</v>
      </c>
      <c r="D671" s="12"/>
      <c r="E671" s="13">
        <v>-85</v>
      </c>
    </row>
    <row r="672" spans="1:5" x14ac:dyDescent="0.25">
      <c r="A672" s="11">
        <v>45688</v>
      </c>
      <c r="B672" s="12" t="s">
        <v>1574</v>
      </c>
      <c r="C672" s="12" t="s">
        <v>1530</v>
      </c>
      <c r="D672" s="12"/>
      <c r="E672" s="13">
        <v>-70</v>
      </c>
    </row>
    <row r="673" spans="1:5" x14ac:dyDescent="0.25">
      <c r="A673" s="11">
        <v>45688</v>
      </c>
      <c r="B673" s="12" t="s">
        <v>1575</v>
      </c>
      <c r="C673" s="12" t="s">
        <v>1530</v>
      </c>
      <c r="D673" s="12"/>
      <c r="E673" s="13">
        <v>-80</v>
      </c>
    </row>
    <row r="674" spans="1:5" x14ac:dyDescent="0.25">
      <c r="A674" s="11">
        <v>45688</v>
      </c>
      <c r="B674" s="12" t="s">
        <v>1576</v>
      </c>
      <c r="C674" s="12" t="s">
        <v>1577</v>
      </c>
      <c r="D674" s="12"/>
      <c r="E674" s="13">
        <v>-40</v>
      </c>
    </row>
    <row r="675" spans="1:5" x14ac:dyDescent="0.25">
      <c r="A675" s="11">
        <v>45688</v>
      </c>
      <c r="B675" s="12" t="s">
        <v>1578</v>
      </c>
      <c r="C675" s="12" t="s">
        <v>1530</v>
      </c>
      <c r="D675" s="12"/>
      <c r="E675" s="13">
        <v>-45</v>
      </c>
    </row>
    <row r="676" spans="1:5" x14ac:dyDescent="0.25">
      <c r="A676" s="11">
        <v>45688</v>
      </c>
      <c r="B676" s="12" t="s">
        <v>1579</v>
      </c>
      <c r="C676" s="12" t="s">
        <v>1530</v>
      </c>
      <c r="D676" s="12"/>
      <c r="E676" s="13">
        <v>-45</v>
      </c>
    </row>
    <row r="677" spans="1:5" x14ac:dyDescent="0.25">
      <c r="A677" s="11">
        <v>45688</v>
      </c>
      <c r="B677" s="12" t="s">
        <v>1580</v>
      </c>
      <c r="C677" s="12" t="s">
        <v>1577</v>
      </c>
      <c r="D677" s="12"/>
      <c r="E677" s="13">
        <v>-20</v>
      </c>
    </row>
    <row r="678" spans="1:5" x14ac:dyDescent="0.25">
      <c r="A678" s="11">
        <v>45688</v>
      </c>
      <c r="B678" s="12" t="s">
        <v>1581</v>
      </c>
      <c r="C678" s="12" t="s">
        <v>1472</v>
      </c>
      <c r="D678" s="12"/>
      <c r="E678" s="13">
        <v>-35</v>
      </c>
    </row>
    <row r="679" spans="1:5" x14ac:dyDescent="0.25">
      <c r="A679" s="11">
        <v>45688</v>
      </c>
      <c r="B679" s="12" t="s">
        <v>1582</v>
      </c>
      <c r="C679" s="12" t="s">
        <v>1583</v>
      </c>
      <c r="D679" s="12"/>
      <c r="E679" s="13">
        <v>-110</v>
      </c>
    </row>
    <row r="680" spans="1:5" x14ac:dyDescent="0.25">
      <c r="A680" s="11">
        <v>45688</v>
      </c>
      <c r="B680" s="12" t="s">
        <v>1584</v>
      </c>
      <c r="C680" s="12"/>
      <c r="D680" s="12"/>
      <c r="E680" s="13">
        <v>-228.5</v>
      </c>
    </row>
    <row r="681" spans="1:5" x14ac:dyDescent="0.25">
      <c r="A681" s="11">
        <v>45688</v>
      </c>
      <c r="B681" s="12" t="s">
        <v>1585</v>
      </c>
      <c r="C681" s="12" t="s">
        <v>1586</v>
      </c>
      <c r="D681" s="12"/>
      <c r="E681" s="13">
        <v>-1543.5</v>
      </c>
    </row>
    <row r="682" spans="1:5" x14ac:dyDescent="0.25">
      <c r="A682" s="11">
        <v>45688</v>
      </c>
      <c r="B682" s="12" t="s">
        <v>1587</v>
      </c>
      <c r="C682" s="12" t="s">
        <v>1586</v>
      </c>
      <c r="D682" s="12"/>
      <c r="E682" s="13">
        <v>-50</v>
      </c>
    </row>
    <row r="683" spans="1:5" x14ac:dyDescent="0.25">
      <c r="A683" s="11">
        <v>45688</v>
      </c>
      <c r="B683" s="12" t="s">
        <v>1588</v>
      </c>
      <c r="C683" s="12" t="s">
        <v>1589</v>
      </c>
      <c r="D683" s="12"/>
      <c r="E683" s="13">
        <v>-60</v>
      </c>
    </row>
    <row r="684" spans="1:5" x14ac:dyDescent="0.25">
      <c r="A684" s="11">
        <v>45688</v>
      </c>
      <c r="B684" s="12" t="s">
        <v>1590</v>
      </c>
      <c r="C684" s="12" t="s">
        <v>1591</v>
      </c>
      <c r="D684" s="12"/>
      <c r="E684" s="13">
        <v>-60</v>
      </c>
    </row>
    <row r="685" spans="1:5" x14ac:dyDescent="0.25">
      <c r="A685" s="11">
        <v>45688</v>
      </c>
      <c r="B685" s="12" t="s">
        <v>1592</v>
      </c>
      <c r="C685" s="12" t="s">
        <v>1589</v>
      </c>
      <c r="D685" s="12"/>
      <c r="E685" s="13">
        <v>-207</v>
      </c>
    </row>
    <row r="686" spans="1:5" x14ac:dyDescent="0.25">
      <c r="A686" s="11">
        <v>45688</v>
      </c>
      <c r="B686" s="12" t="s">
        <v>1593</v>
      </c>
      <c r="C686" s="12" t="s">
        <v>1594</v>
      </c>
      <c r="D686" s="12"/>
      <c r="E686" s="13">
        <v>-1053</v>
      </c>
    </row>
    <row r="687" spans="1:5" x14ac:dyDescent="0.25">
      <c r="A687" s="11">
        <v>45716</v>
      </c>
      <c r="B687" s="12" t="s">
        <v>1595</v>
      </c>
      <c r="C687" s="12" t="s">
        <v>1596</v>
      </c>
      <c r="D687" s="12"/>
      <c r="E687" s="13">
        <v>-625.5</v>
      </c>
    </row>
    <row r="688" spans="1:5" x14ac:dyDescent="0.25">
      <c r="A688" s="11">
        <v>45716</v>
      </c>
      <c r="B688" s="12" t="s">
        <v>1597</v>
      </c>
      <c r="C688" s="12" t="s">
        <v>1591</v>
      </c>
      <c r="D688" s="12"/>
      <c r="E688" s="13">
        <v>-40</v>
      </c>
    </row>
    <row r="689" spans="1:5" x14ac:dyDescent="0.25">
      <c r="A689" s="11">
        <v>45716</v>
      </c>
      <c r="B689" s="12" t="s">
        <v>1598</v>
      </c>
      <c r="C689" s="12" t="s">
        <v>1591</v>
      </c>
      <c r="D689" s="12"/>
      <c r="E689" s="13">
        <v>-90</v>
      </c>
    </row>
    <row r="690" spans="1:5" x14ac:dyDescent="0.25">
      <c r="A690" s="11">
        <v>45716</v>
      </c>
      <c r="B690" s="12" t="s">
        <v>1599</v>
      </c>
      <c r="C690" s="12" t="s">
        <v>1591</v>
      </c>
      <c r="D690" s="12"/>
      <c r="E690" s="13">
        <v>-60</v>
      </c>
    </row>
    <row r="691" spans="1:5" x14ac:dyDescent="0.25">
      <c r="A691" s="11">
        <v>45716</v>
      </c>
      <c r="B691" s="12" t="s">
        <v>1600</v>
      </c>
      <c r="C691" s="12" t="s">
        <v>1591</v>
      </c>
      <c r="D691" s="12"/>
      <c r="E691" s="13">
        <v>-60</v>
      </c>
    </row>
    <row r="692" spans="1:5" x14ac:dyDescent="0.25">
      <c r="A692" s="11">
        <v>45716</v>
      </c>
      <c r="B692" s="12" t="s">
        <v>1601</v>
      </c>
      <c r="C692" s="12" t="s">
        <v>1591</v>
      </c>
      <c r="D692" s="12"/>
      <c r="E692" s="13">
        <v>-60</v>
      </c>
    </row>
    <row r="693" spans="1:5" x14ac:dyDescent="0.25">
      <c r="A693" s="11">
        <v>45716</v>
      </c>
      <c r="B693" s="12" t="s">
        <v>1602</v>
      </c>
      <c r="C693" s="12" t="s">
        <v>1591</v>
      </c>
      <c r="D693" s="12"/>
      <c r="E693" s="13">
        <v>-90</v>
      </c>
    </row>
    <row r="694" spans="1:5" x14ac:dyDescent="0.25">
      <c r="A694" s="11">
        <v>45716</v>
      </c>
      <c r="B694" s="12" t="s">
        <v>1603</v>
      </c>
      <c r="C694" s="12" t="s">
        <v>1591</v>
      </c>
      <c r="D694" s="12"/>
      <c r="E694" s="13">
        <v>-50</v>
      </c>
    </row>
    <row r="695" spans="1:5" x14ac:dyDescent="0.25">
      <c r="A695" s="11">
        <v>45716</v>
      </c>
      <c r="B695" s="12" t="s">
        <v>1604</v>
      </c>
      <c r="C695" s="12" t="s">
        <v>1591</v>
      </c>
      <c r="D695" s="12"/>
      <c r="E695" s="13">
        <v>-75</v>
      </c>
    </row>
    <row r="696" spans="1:5" x14ac:dyDescent="0.25">
      <c r="A696" s="11">
        <v>45716</v>
      </c>
      <c r="B696" s="12" t="s">
        <v>1605</v>
      </c>
      <c r="C696" s="12" t="s">
        <v>1606</v>
      </c>
      <c r="D696" s="12"/>
      <c r="E696" s="13">
        <v>-90</v>
      </c>
    </row>
    <row r="697" spans="1:5" x14ac:dyDescent="0.25">
      <c r="A697" s="11">
        <v>45716</v>
      </c>
      <c r="B697" s="12" t="s">
        <v>1607</v>
      </c>
      <c r="C697" s="12" t="s">
        <v>1606</v>
      </c>
      <c r="D697" s="12"/>
      <c r="E697" s="13">
        <v>-1137</v>
      </c>
    </row>
    <row r="698" spans="1:5" x14ac:dyDescent="0.25">
      <c r="A698" s="11">
        <v>45716</v>
      </c>
      <c r="B698" s="12" t="s">
        <v>1608</v>
      </c>
      <c r="C698" s="12" t="s">
        <v>1609</v>
      </c>
      <c r="D698" s="12"/>
      <c r="E698" s="13">
        <v>-60</v>
      </c>
    </row>
    <row r="699" spans="1:5" x14ac:dyDescent="0.25">
      <c r="A699" s="11">
        <v>45716</v>
      </c>
      <c r="B699" s="12" t="s">
        <v>1610</v>
      </c>
      <c r="C699" s="12" t="s">
        <v>1611</v>
      </c>
      <c r="D699" s="12"/>
      <c r="E699" s="13">
        <v>-60</v>
      </c>
    </row>
    <row r="700" spans="1:5" x14ac:dyDescent="0.25">
      <c r="A700" s="11">
        <v>45716</v>
      </c>
      <c r="B700" s="12" t="s">
        <v>1612</v>
      </c>
      <c r="C700" s="12" t="s">
        <v>1613</v>
      </c>
      <c r="D700" s="12"/>
      <c r="E700" s="13">
        <v>-60</v>
      </c>
    </row>
    <row r="701" spans="1:5" x14ac:dyDescent="0.25">
      <c r="A701" s="11">
        <v>45716</v>
      </c>
      <c r="B701" s="12" t="s">
        <v>1614</v>
      </c>
      <c r="C701" s="12" t="s">
        <v>1613</v>
      </c>
      <c r="D701" s="12"/>
      <c r="E701" s="13">
        <v>-60</v>
      </c>
    </row>
    <row r="702" spans="1:5" x14ac:dyDescent="0.25">
      <c r="A702" s="11">
        <v>45716</v>
      </c>
      <c r="B702" s="12" t="s">
        <v>1615</v>
      </c>
      <c r="C702" s="12" t="s">
        <v>1613</v>
      </c>
      <c r="D702" s="12"/>
      <c r="E702" s="13">
        <v>-50</v>
      </c>
    </row>
    <row r="703" spans="1:5" x14ac:dyDescent="0.25">
      <c r="A703" s="11">
        <v>45747</v>
      </c>
      <c r="B703" s="12" t="s">
        <v>1616</v>
      </c>
      <c r="C703" s="12" t="s">
        <v>1617</v>
      </c>
      <c r="D703" s="12"/>
      <c r="E703" s="13">
        <v>-60</v>
      </c>
    </row>
    <row r="704" spans="1:5" x14ac:dyDescent="0.25">
      <c r="A704" s="11">
        <v>45747</v>
      </c>
      <c r="B704" s="12" t="s">
        <v>1618</v>
      </c>
      <c r="C704" s="12" t="s">
        <v>1619</v>
      </c>
      <c r="D704" s="12"/>
      <c r="E704" s="13">
        <v>-60</v>
      </c>
    </row>
    <row r="705" spans="1:5" x14ac:dyDescent="0.25">
      <c r="A705" s="11">
        <v>45747</v>
      </c>
      <c r="B705" s="12" t="s">
        <v>1620</v>
      </c>
      <c r="C705" s="12" t="s">
        <v>1619</v>
      </c>
      <c r="D705" s="12"/>
      <c r="E705" s="13">
        <v>-150</v>
      </c>
    </row>
    <row r="706" spans="1:5" x14ac:dyDescent="0.25">
      <c r="A706" s="11">
        <v>45747</v>
      </c>
      <c r="B706" s="12" t="s">
        <v>1621</v>
      </c>
      <c r="C706" s="12" t="s">
        <v>1619</v>
      </c>
      <c r="D706" s="12"/>
      <c r="E706" s="13">
        <v>-60</v>
      </c>
    </row>
    <row r="707" spans="1:5" x14ac:dyDescent="0.25">
      <c r="A707" s="11">
        <v>45747</v>
      </c>
      <c r="B707" s="12" t="s">
        <v>1622</v>
      </c>
      <c r="C707" s="12" t="s">
        <v>1619</v>
      </c>
      <c r="D707" s="12"/>
      <c r="E707" s="13">
        <v>-60</v>
      </c>
    </row>
    <row r="708" spans="1:5" x14ac:dyDescent="0.25">
      <c r="A708" s="11">
        <v>45747</v>
      </c>
      <c r="B708" s="12" t="s">
        <v>1623</v>
      </c>
      <c r="C708" s="12" t="s">
        <v>1624</v>
      </c>
      <c r="D708" s="12"/>
      <c r="E708" s="13">
        <v>-90</v>
      </c>
    </row>
    <row r="709" spans="1:5" x14ac:dyDescent="0.25">
      <c r="A709" s="11">
        <v>45747</v>
      </c>
      <c r="B709" s="12" t="s">
        <v>1625</v>
      </c>
      <c r="C709" s="12" t="s">
        <v>1624</v>
      </c>
      <c r="D709" s="12"/>
      <c r="E709" s="13">
        <v>-60</v>
      </c>
    </row>
    <row r="710" spans="1:5" x14ac:dyDescent="0.25">
      <c r="A710" s="11">
        <v>45747</v>
      </c>
      <c r="B710" s="12" t="s">
        <v>1626</v>
      </c>
      <c r="C710" s="12" t="s">
        <v>1624</v>
      </c>
      <c r="D710" s="12"/>
      <c r="E710" s="13">
        <v>-40</v>
      </c>
    </row>
    <row r="711" spans="1:5" x14ac:dyDescent="0.25">
      <c r="A711" s="11">
        <v>45747</v>
      </c>
      <c r="B711" s="12" t="s">
        <v>1627</v>
      </c>
      <c r="C711" s="12" t="s">
        <v>1624</v>
      </c>
      <c r="D711" s="12"/>
      <c r="E711" s="13">
        <v>-40</v>
      </c>
    </row>
    <row r="712" spans="1:5" x14ac:dyDescent="0.25">
      <c r="A712" s="11">
        <v>45747</v>
      </c>
      <c r="B712" s="12" t="s">
        <v>1628</v>
      </c>
      <c r="C712" s="12" t="s">
        <v>1624</v>
      </c>
      <c r="D712" s="12"/>
      <c r="E712" s="13">
        <v>-60</v>
      </c>
    </row>
    <row r="713" spans="1:5" x14ac:dyDescent="0.25">
      <c r="A713" s="11">
        <v>45747</v>
      </c>
      <c r="B713" s="12" t="s">
        <v>1629</v>
      </c>
      <c r="C713" s="12" t="s">
        <v>1630</v>
      </c>
      <c r="D713" s="12"/>
      <c r="E713" s="13">
        <v>-45</v>
      </c>
    </row>
    <row r="714" spans="1:5" x14ac:dyDescent="0.25">
      <c r="A714" s="11">
        <v>45747</v>
      </c>
      <c r="B714" s="12" t="s">
        <v>1631</v>
      </c>
      <c r="C714" s="12" t="s">
        <v>1630</v>
      </c>
      <c r="D714" s="12"/>
      <c r="E714" s="13">
        <v>-45</v>
      </c>
    </row>
    <row r="715" spans="1:5" x14ac:dyDescent="0.25">
      <c r="A715" s="11">
        <v>45747</v>
      </c>
      <c r="B715" s="12" t="s">
        <v>1632</v>
      </c>
      <c r="C715" s="12" t="s">
        <v>1630</v>
      </c>
      <c r="D715" s="12"/>
      <c r="E715" s="13">
        <v>-45</v>
      </c>
    </row>
    <row r="716" spans="1:5" x14ac:dyDescent="0.25">
      <c r="A716" s="11">
        <v>45747</v>
      </c>
      <c r="B716" s="12" t="s">
        <v>1633</v>
      </c>
      <c r="C716" s="12" t="s">
        <v>1630</v>
      </c>
      <c r="D716" s="12"/>
      <c r="E716" s="13">
        <v>-45</v>
      </c>
    </row>
    <row r="717" spans="1:5" x14ac:dyDescent="0.25">
      <c r="A717" s="11">
        <v>45747</v>
      </c>
      <c r="B717" s="12" t="s">
        <v>1634</v>
      </c>
      <c r="C717" s="12" t="s">
        <v>1635</v>
      </c>
      <c r="D717" s="12"/>
      <c r="E717" s="13">
        <v>-60</v>
      </c>
    </row>
    <row r="718" spans="1:5" x14ac:dyDescent="0.25">
      <c r="A718" s="11">
        <v>45747</v>
      </c>
      <c r="B718" s="12" t="s">
        <v>1636</v>
      </c>
      <c r="C718" s="12" t="s">
        <v>1637</v>
      </c>
      <c r="D718" s="12"/>
      <c r="E718" s="13">
        <v>-858</v>
      </c>
    </row>
    <row r="719" spans="1:5" x14ac:dyDescent="0.25">
      <c r="A719" s="11">
        <v>45747</v>
      </c>
      <c r="B719" s="12" t="s">
        <v>1638</v>
      </c>
      <c r="C719" s="12" t="s">
        <v>1637</v>
      </c>
      <c r="D719" s="12"/>
      <c r="E719" s="13">
        <v>-88.5</v>
      </c>
    </row>
    <row r="720" spans="1:5" x14ac:dyDescent="0.25">
      <c r="A720" s="11">
        <v>45747</v>
      </c>
      <c r="B720" s="12" t="s">
        <v>1639</v>
      </c>
      <c r="C720" s="12" t="s">
        <v>1635</v>
      </c>
      <c r="D720" s="12"/>
      <c r="E720" s="13">
        <v>-90</v>
      </c>
    </row>
    <row r="721" spans="1:5" x14ac:dyDescent="0.25">
      <c r="A721" s="11">
        <v>45747</v>
      </c>
      <c r="B721" s="12" t="s">
        <v>1640</v>
      </c>
      <c r="C721" s="12" t="s">
        <v>1635</v>
      </c>
      <c r="D721" s="12"/>
      <c r="E721" s="13">
        <v>-45</v>
      </c>
    </row>
    <row r="722" spans="1:5" x14ac:dyDescent="0.25">
      <c r="A722" s="11">
        <v>45747</v>
      </c>
      <c r="B722" s="12" t="s">
        <v>1641</v>
      </c>
      <c r="C722" s="12" t="s">
        <v>1635</v>
      </c>
      <c r="D722" s="12"/>
      <c r="E722" s="13">
        <v>-40</v>
      </c>
    </row>
    <row r="723" spans="1:5" x14ac:dyDescent="0.25">
      <c r="A723" s="11">
        <v>45747</v>
      </c>
      <c r="B723" s="12" t="s">
        <v>1642</v>
      </c>
      <c r="C723" s="12" t="s">
        <v>1635</v>
      </c>
      <c r="D723" s="12"/>
      <c r="E723" s="13">
        <v>-60</v>
      </c>
    </row>
    <row r="724" spans="1:5" x14ac:dyDescent="0.25">
      <c r="A724" s="11">
        <v>45747</v>
      </c>
      <c r="B724" s="12" t="s">
        <v>1643</v>
      </c>
      <c r="C724" s="12" t="s">
        <v>1637</v>
      </c>
      <c r="D724" s="12"/>
      <c r="E724" s="13">
        <v>-238.5</v>
      </c>
    </row>
    <row r="725" spans="1:5" x14ac:dyDescent="0.25">
      <c r="A725" s="11">
        <v>45747</v>
      </c>
      <c r="B725" s="12" t="s">
        <v>1644</v>
      </c>
      <c r="C725" s="12" t="s">
        <v>1645</v>
      </c>
      <c r="D725" s="12"/>
      <c r="E725" s="13">
        <v>-207</v>
      </c>
    </row>
    <row r="726" spans="1:5" x14ac:dyDescent="0.25">
      <c r="A726" s="11">
        <v>45747</v>
      </c>
      <c r="B726" s="12" t="s">
        <v>1646</v>
      </c>
      <c r="C726" s="12" t="s">
        <v>1645</v>
      </c>
      <c r="D726" s="12"/>
      <c r="E726" s="13">
        <v>-837</v>
      </c>
    </row>
    <row r="727" spans="1:5" x14ac:dyDescent="0.25">
      <c r="A727" s="11">
        <v>45747</v>
      </c>
      <c r="B727" s="12" t="s">
        <v>1647</v>
      </c>
      <c r="C727" s="12" t="s">
        <v>1648</v>
      </c>
      <c r="D727" s="12"/>
      <c r="E727" s="13">
        <v>-85</v>
      </c>
    </row>
    <row r="728" spans="1:5" x14ac:dyDescent="0.25">
      <c r="A728" s="11">
        <v>45747</v>
      </c>
      <c r="B728" s="12" t="s">
        <v>1649</v>
      </c>
      <c r="C728" s="12" t="s">
        <v>1648</v>
      </c>
      <c r="D728" s="12"/>
      <c r="E728" s="13">
        <v>-55</v>
      </c>
    </row>
    <row r="729" spans="1:5" x14ac:dyDescent="0.25">
      <c r="A729" s="11">
        <v>45747</v>
      </c>
      <c r="B729" s="12" t="s">
        <v>1650</v>
      </c>
      <c r="C729" s="12" t="s">
        <v>1648</v>
      </c>
      <c r="D729" s="12"/>
      <c r="E729" s="13">
        <v>-40</v>
      </c>
    </row>
    <row r="730" spans="1:5" x14ac:dyDescent="0.25">
      <c r="A730" s="11">
        <v>45747</v>
      </c>
      <c r="B730" s="12" t="s">
        <v>1651</v>
      </c>
      <c r="C730" s="12" t="s">
        <v>1648</v>
      </c>
      <c r="D730" s="12"/>
      <c r="E730" s="13">
        <v>-20</v>
      </c>
    </row>
    <row r="731" spans="1:5" x14ac:dyDescent="0.25">
      <c r="A731" s="11">
        <v>45777</v>
      </c>
      <c r="B731" s="12" t="s">
        <v>1652</v>
      </c>
      <c r="C731" s="12" t="s">
        <v>1624</v>
      </c>
      <c r="D731" s="12"/>
      <c r="E731" s="13">
        <v>-60</v>
      </c>
    </row>
    <row r="732" spans="1:5" x14ac:dyDescent="0.25">
      <c r="A732" s="11">
        <v>45777</v>
      </c>
      <c r="B732" s="12" t="s">
        <v>1653</v>
      </c>
      <c r="C732" s="12" t="s">
        <v>1624</v>
      </c>
      <c r="D732" s="12"/>
      <c r="E732" s="13">
        <v>-40</v>
      </c>
    </row>
    <row r="733" spans="1:5" x14ac:dyDescent="0.25">
      <c r="A733" s="11">
        <v>45777</v>
      </c>
      <c r="B733" s="12" t="s">
        <v>1654</v>
      </c>
      <c r="C733" s="12" t="s">
        <v>1624</v>
      </c>
      <c r="D733" s="12"/>
      <c r="E733" s="13">
        <v>-60</v>
      </c>
    </row>
    <row r="734" spans="1:5" x14ac:dyDescent="0.25">
      <c r="A734" s="11">
        <v>45777</v>
      </c>
      <c r="B734" s="12" t="s">
        <v>1655</v>
      </c>
      <c r="C734" s="12" t="s">
        <v>1624</v>
      </c>
      <c r="D734" s="12"/>
      <c r="E734" s="13">
        <v>-40</v>
      </c>
    </row>
    <row r="735" spans="1:5" x14ac:dyDescent="0.25">
      <c r="A735" s="11">
        <v>45777</v>
      </c>
      <c r="B735" s="12" t="s">
        <v>1656</v>
      </c>
      <c r="C735" s="12" t="s">
        <v>1624</v>
      </c>
      <c r="D735" s="12"/>
      <c r="E735" s="13">
        <v>-90</v>
      </c>
    </row>
    <row r="736" spans="1:5" x14ac:dyDescent="0.25">
      <c r="A736" s="11">
        <v>45777</v>
      </c>
      <c r="B736" s="12" t="s">
        <v>658</v>
      </c>
      <c r="C736" s="12" t="s">
        <v>636</v>
      </c>
      <c r="D736" s="12"/>
      <c r="E736" s="13">
        <v>-90</v>
      </c>
    </row>
    <row r="737" spans="1:5" x14ac:dyDescent="0.25">
      <c r="A737" s="11">
        <v>45777</v>
      </c>
      <c r="B737" s="12" t="s">
        <v>657</v>
      </c>
      <c r="C737" s="12" t="s">
        <v>636</v>
      </c>
      <c r="D737" s="12"/>
      <c r="E737" s="13">
        <v>-60</v>
      </c>
    </row>
    <row r="738" spans="1:5" x14ac:dyDescent="0.25">
      <c r="A738" s="11">
        <v>45777</v>
      </c>
      <c r="B738" s="12" t="s">
        <v>655</v>
      </c>
      <c r="C738" s="12" t="s">
        <v>636</v>
      </c>
      <c r="D738" s="12"/>
      <c r="E738" s="13">
        <v>-40</v>
      </c>
    </row>
    <row r="739" spans="1:5" x14ac:dyDescent="0.25">
      <c r="A739" s="11">
        <v>45777</v>
      </c>
      <c r="B739" s="12" t="s">
        <v>656</v>
      </c>
      <c r="C739" s="12" t="s">
        <v>636</v>
      </c>
      <c r="D739" s="12"/>
      <c r="E739" s="13">
        <v>-60</v>
      </c>
    </row>
    <row r="740" spans="1:5" x14ac:dyDescent="0.25">
      <c r="A740" s="11">
        <v>45777</v>
      </c>
      <c r="B740" s="12" t="s">
        <v>654</v>
      </c>
      <c r="C740" s="12" t="s">
        <v>636</v>
      </c>
      <c r="D740" s="12"/>
      <c r="E740" s="13">
        <v>-60</v>
      </c>
    </row>
    <row r="741" spans="1:5" x14ac:dyDescent="0.25">
      <c r="A741" s="11">
        <v>45777</v>
      </c>
      <c r="B741" s="12" t="s">
        <v>1657</v>
      </c>
      <c r="C741" s="12" t="s">
        <v>1658</v>
      </c>
      <c r="D741" s="12"/>
      <c r="E741" s="13">
        <v>-100</v>
      </c>
    </row>
    <row r="742" spans="1:5" x14ac:dyDescent="0.25">
      <c r="A742" s="11">
        <v>45777</v>
      </c>
      <c r="B742" s="12" t="s">
        <v>1659</v>
      </c>
      <c r="C742" s="12" t="s">
        <v>1660</v>
      </c>
      <c r="D742" s="12"/>
      <c r="E742" s="13">
        <v>-40</v>
      </c>
    </row>
    <row r="743" spans="1:5" x14ac:dyDescent="0.25">
      <c r="A743" s="11">
        <v>45777</v>
      </c>
      <c r="B743" s="12" t="s">
        <v>1661</v>
      </c>
      <c r="C743" s="12" t="s">
        <v>1660</v>
      </c>
      <c r="D743" s="12"/>
      <c r="E743" s="13">
        <v>-25</v>
      </c>
    </row>
    <row r="744" spans="1:5" x14ac:dyDescent="0.25">
      <c r="A744" s="11">
        <v>45777</v>
      </c>
      <c r="B744" s="12" t="s">
        <v>1662</v>
      </c>
      <c r="C744" s="12" t="s">
        <v>1658</v>
      </c>
      <c r="D744" s="12"/>
      <c r="E744" s="13">
        <v>-55</v>
      </c>
    </row>
    <row r="745" spans="1:5" x14ac:dyDescent="0.25">
      <c r="A745" s="11">
        <v>45777</v>
      </c>
      <c r="B745" s="12" t="s">
        <v>1663</v>
      </c>
      <c r="C745" s="12" t="s">
        <v>1658</v>
      </c>
      <c r="D745" s="12"/>
      <c r="E745" s="13">
        <v>-70</v>
      </c>
    </row>
    <row r="746" spans="1:5" x14ac:dyDescent="0.25">
      <c r="A746" s="11">
        <v>45777</v>
      </c>
      <c r="B746" s="12" t="s">
        <v>1664</v>
      </c>
      <c r="C746" s="12" t="s">
        <v>1658</v>
      </c>
      <c r="D746" s="12"/>
      <c r="E746" s="13">
        <v>-55</v>
      </c>
    </row>
    <row r="747" spans="1:5" x14ac:dyDescent="0.25">
      <c r="A747" s="11">
        <v>45777</v>
      </c>
      <c r="B747" s="12" t="s">
        <v>1665</v>
      </c>
      <c r="C747" s="12" t="s">
        <v>1658</v>
      </c>
      <c r="D747" s="12"/>
      <c r="E747" s="13">
        <v>-100</v>
      </c>
    </row>
    <row r="748" spans="1:5" x14ac:dyDescent="0.25">
      <c r="A748" s="11">
        <v>45777</v>
      </c>
      <c r="B748" s="12" t="s">
        <v>1666</v>
      </c>
      <c r="C748" s="12" t="s">
        <v>1667</v>
      </c>
      <c r="D748" s="12"/>
      <c r="E748" s="13">
        <v>-60</v>
      </c>
    </row>
    <row r="749" spans="1:5" x14ac:dyDescent="0.25">
      <c r="A749" s="11">
        <v>45777</v>
      </c>
      <c r="B749" s="12" t="s">
        <v>1668</v>
      </c>
      <c r="C749" s="12" t="s">
        <v>1669</v>
      </c>
      <c r="D749" s="12"/>
      <c r="E749" s="13">
        <v>-539</v>
      </c>
    </row>
    <row r="750" spans="1:5" x14ac:dyDescent="0.25">
      <c r="A750" s="11">
        <v>45777</v>
      </c>
      <c r="B750" s="12" t="s">
        <v>1670</v>
      </c>
      <c r="C750" s="12" t="s">
        <v>1671</v>
      </c>
      <c r="D750" s="12"/>
      <c r="E750" s="13">
        <v>-711</v>
      </c>
    </row>
    <row r="751" spans="1:5" x14ac:dyDescent="0.25">
      <c r="A751" s="11">
        <v>45777</v>
      </c>
      <c r="B751" s="12" t="s">
        <v>1672</v>
      </c>
      <c r="C751" s="12" t="s">
        <v>1673</v>
      </c>
      <c r="D751" s="12"/>
      <c r="E751" s="13">
        <v>-192</v>
      </c>
    </row>
    <row r="752" spans="1:5" x14ac:dyDescent="0.25">
      <c r="A752" s="11">
        <v>45777</v>
      </c>
      <c r="B752" s="12" t="s">
        <v>1674</v>
      </c>
      <c r="C752" s="12" t="s">
        <v>1675</v>
      </c>
      <c r="D752" s="12"/>
      <c r="E752" s="13">
        <v>-250.5</v>
      </c>
    </row>
    <row r="753" spans="1:5" x14ac:dyDescent="0.25">
      <c r="A753" s="11">
        <v>45777</v>
      </c>
      <c r="B753" s="12" t="s">
        <v>1676</v>
      </c>
      <c r="C753" s="12" t="s">
        <v>1677</v>
      </c>
      <c r="D753" s="12"/>
      <c r="E753" s="13">
        <v>-2509</v>
      </c>
    </row>
    <row r="754" spans="1:5" x14ac:dyDescent="0.25">
      <c r="A754" s="11">
        <v>45777</v>
      </c>
      <c r="B754" s="12" t="s">
        <v>1678</v>
      </c>
      <c r="C754" s="12" t="s">
        <v>1679</v>
      </c>
      <c r="D754" s="12"/>
      <c r="E754" s="13">
        <v>-70</v>
      </c>
    </row>
    <row r="755" spans="1:5" x14ac:dyDescent="0.25">
      <c r="A755" s="11">
        <v>45777</v>
      </c>
      <c r="B755" s="12" t="s">
        <v>1680</v>
      </c>
      <c r="C755" s="12" t="s">
        <v>1667</v>
      </c>
      <c r="D755" s="12"/>
      <c r="E755" s="13">
        <v>-1605</v>
      </c>
    </row>
    <row r="756" spans="1:5" x14ac:dyDescent="0.25">
      <c r="A756" s="11">
        <v>45777</v>
      </c>
      <c r="B756" s="12" t="s">
        <v>1681</v>
      </c>
      <c r="C756" s="12" t="s">
        <v>1679</v>
      </c>
      <c r="D756" s="12"/>
      <c r="E756" s="13">
        <v>-55</v>
      </c>
    </row>
    <row r="757" spans="1:5" x14ac:dyDescent="0.25">
      <c r="A757" s="11">
        <v>45777</v>
      </c>
      <c r="B757" s="12" t="s">
        <v>1682</v>
      </c>
      <c r="C757" s="12" t="s">
        <v>1679</v>
      </c>
      <c r="D757" s="12"/>
      <c r="E757" s="13">
        <v>-60</v>
      </c>
    </row>
    <row r="758" spans="1:5" x14ac:dyDescent="0.25">
      <c r="A758" s="11">
        <v>45777</v>
      </c>
      <c r="B758" s="12" t="s">
        <v>1683</v>
      </c>
      <c r="C758" s="12" t="s">
        <v>1679</v>
      </c>
      <c r="D758" s="12"/>
      <c r="E758" s="13">
        <v>-85</v>
      </c>
    </row>
    <row r="759" spans="1:5" x14ac:dyDescent="0.25">
      <c r="A759" s="11">
        <v>45777</v>
      </c>
      <c r="B759" s="12" t="s">
        <v>1684</v>
      </c>
      <c r="C759" s="12" t="s">
        <v>1679</v>
      </c>
      <c r="D759" s="12"/>
      <c r="E759" s="13">
        <v>-180</v>
      </c>
    </row>
    <row r="760" spans="1:5" x14ac:dyDescent="0.25">
      <c r="A760" s="11">
        <v>45777</v>
      </c>
      <c r="B760" s="12" t="s">
        <v>1685</v>
      </c>
      <c r="C760" s="12" t="s">
        <v>1679</v>
      </c>
      <c r="D760" s="12"/>
      <c r="E760" s="13">
        <v>-70</v>
      </c>
    </row>
    <row r="761" spans="1:5" x14ac:dyDescent="0.25">
      <c r="A761" s="11">
        <v>45808</v>
      </c>
      <c r="B761" s="12" t="s">
        <v>1686</v>
      </c>
      <c r="C761" s="12" t="s">
        <v>1613</v>
      </c>
      <c r="D761" s="12"/>
      <c r="E761" s="13">
        <v>-90</v>
      </c>
    </row>
    <row r="762" spans="1:5" x14ac:dyDescent="0.25">
      <c r="A762" s="11">
        <v>45808</v>
      </c>
      <c r="B762" s="12" t="s">
        <v>1687</v>
      </c>
      <c r="C762" s="12" t="s">
        <v>1688</v>
      </c>
      <c r="D762" s="12"/>
      <c r="E762" s="13">
        <v>-60</v>
      </c>
    </row>
    <row r="763" spans="1:5" x14ac:dyDescent="0.25">
      <c r="A763" s="11">
        <v>45808</v>
      </c>
      <c r="B763" s="12" t="s">
        <v>1689</v>
      </c>
      <c r="C763" s="12" t="s">
        <v>1611</v>
      </c>
      <c r="D763" s="12"/>
      <c r="E763" s="13">
        <v>-90</v>
      </c>
    </row>
    <row r="764" spans="1:5" x14ac:dyDescent="0.25">
      <c r="A764" s="11">
        <v>45808</v>
      </c>
      <c r="B764" s="12" t="s">
        <v>1690</v>
      </c>
      <c r="C764" s="12" t="s">
        <v>1611</v>
      </c>
      <c r="D764" s="12"/>
      <c r="E764" s="13">
        <v>-50</v>
      </c>
    </row>
    <row r="765" spans="1:5" x14ac:dyDescent="0.25">
      <c r="A765" s="11">
        <v>45808</v>
      </c>
      <c r="B765" s="12" t="s">
        <v>1691</v>
      </c>
      <c r="C765" s="12" t="s">
        <v>1611</v>
      </c>
      <c r="D765" s="12"/>
      <c r="E765" s="13">
        <v>-55</v>
      </c>
    </row>
    <row r="766" spans="1:5" x14ac:dyDescent="0.25">
      <c r="A766" s="11">
        <v>45808</v>
      </c>
      <c r="B766" s="12" t="s">
        <v>1692</v>
      </c>
      <c r="C766" s="12" t="s">
        <v>1611</v>
      </c>
      <c r="D766" s="12"/>
      <c r="E766" s="13">
        <v>-60</v>
      </c>
    </row>
    <row r="767" spans="1:5" x14ac:dyDescent="0.25">
      <c r="A767" s="11">
        <v>45808</v>
      </c>
      <c r="B767" s="12" t="s">
        <v>1693</v>
      </c>
      <c r="C767" s="12" t="s">
        <v>1694</v>
      </c>
      <c r="D767" s="12"/>
      <c r="E767" s="13">
        <v>-70</v>
      </c>
    </row>
    <row r="768" spans="1:5" x14ac:dyDescent="0.25">
      <c r="A768" s="11">
        <v>45808</v>
      </c>
      <c r="B768" s="12" t="s">
        <v>1695</v>
      </c>
      <c r="C768" s="12" t="s">
        <v>1694</v>
      </c>
      <c r="D768" s="12"/>
      <c r="E768" s="13">
        <v>-180</v>
      </c>
    </row>
    <row r="769" spans="1:5" x14ac:dyDescent="0.25">
      <c r="A769" s="11">
        <v>45808</v>
      </c>
      <c r="B769" s="12" t="s">
        <v>1696</v>
      </c>
      <c r="C769" s="12" t="s">
        <v>1694</v>
      </c>
      <c r="D769" s="12"/>
      <c r="E769" s="13">
        <v>-110</v>
      </c>
    </row>
    <row r="770" spans="1:5" x14ac:dyDescent="0.25">
      <c r="A770" s="11">
        <v>45808</v>
      </c>
      <c r="B770" s="12" t="s">
        <v>1697</v>
      </c>
      <c r="C770" s="12" t="s">
        <v>1694</v>
      </c>
      <c r="D770" s="12"/>
      <c r="E770" s="13">
        <v>-45</v>
      </c>
    </row>
    <row r="771" spans="1:5" x14ac:dyDescent="0.25">
      <c r="A771" s="11">
        <v>45808</v>
      </c>
      <c r="B771" s="12" t="s">
        <v>1698</v>
      </c>
      <c r="C771" s="12" t="s">
        <v>1694</v>
      </c>
      <c r="D771" s="12"/>
      <c r="E771" s="13">
        <v>-75</v>
      </c>
    </row>
    <row r="772" spans="1:5" x14ac:dyDescent="0.25">
      <c r="A772" s="11">
        <v>45808</v>
      </c>
      <c r="B772" s="12" t="s">
        <v>1699</v>
      </c>
      <c r="C772" s="12" t="s">
        <v>1611</v>
      </c>
      <c r="D772" s="12"/>
      <c r="E772" s="13">
        <v>-50</v>
      </c>
    </row>
    <row r="773" spans="1:5" x14ac:dyDescent="0.25">
      <c r="A773" s="11">
        <v>45808</v>
      </c>
      <c r="B773" s="12" t="s">
        <v>1700</v>
      </c>
      <c r="C773" s="12" t="s">
        <v>1611</v>
      </c>
      <c r="D773" s="12"/>
      <c r="E773" s="13">
        <v>-60</v>
      </c>
    </row>
    <row r="774" spans="1:5" x14ac:dyDescent="0.25">
      <c r="A774" s="11">
        <v>45808</v>
      </c>
      <c r="B774" s="12" t="s">
        <v>1701</v>
      </c>
      <c r="C774" s="12" t="s">
        <v>1611</v>
      </c>
      <c r="D774" s="12"/>
      <c r="E774" s="13">
        <v>-90</v>
      </c>
    </row>
    <row r="775" spans="1:5" x14ac:dyDescent="0.25">
      <c r="A775" s="11">
        <v>45808</v>
      </c>
      <c r="B775" s="12" t="s">
        <v>1702</v>
      </c>
      <c r="C775" s="12" t="s">
        <v>1611</v>
      </c>
      <c r="D775" s="12"/>
      <c r="E775" s="13">
        <v>-90</v>
      </c>
    </row>
    <row r="776" spans="1:5" x14ac:dyDescent="0.25">
      <c r="A776" s="11">
        <v>45808</v>
      </c>
      <c r="B776" s="12" t="s">
        <v>1703</v>
      </c>
      <c r="C776" s="12" t="s">
        <v>1613</v>
      </c>
      <c r="D776" s="12"/>
      <c r="E776" s="13">
        <v>-60</v>
      </c>
    </row>
    <row r="777" spans="1:5" x14ac:dyDescent="0.25">
      <c r="A777" s="11">
        <v>45808</v>
      </c>
      <c r="B777" s="12" t="s">
        <v>1704</v>
      </c>
      <c r="C777" s="12" t="s">
        <v>1613</v>
      </c>
      <c r="D777" s="12"/>
      <c r="E777" s="13">
        <v>-150</v>
      </c>
    </row>
    <row r="778" spans="1:5" x14ac:dyDescent="0.25">
      <c r="A778" s="11">
        <v>45808</v>
      </c>
      <c r="B778" s="12" t="s">
        <v>1705</v>
      </c>
      <c r="C778" s="12" t="s">
        <v>1688</v>
      </c>
      <c r="D778" s="12"/>
      <c r="E778" s="13">
        <v>-90</v>
      </c>
    </row>
    <row r="779" spans="1:5" x14ac:dyDescent="0.25">
      <c r="A779" s="11">
        <v>45808</v>
      </c>
      <c r="B779" s="12" t="s">
        <v>1706</v>
      </c>
      <c r="C779" s="12" t="s">
        <v>1688</v>
      </c>
      <c r="D779" s="12"/>
      <c r="E779" s="13">
        <v>-60</v>
      </c>
    </row>
    <row r="780" spans="1:5" x14ac:dyDescent="0.25">
      <c r="A780" s="11">
        <v>45808</v>
      </c>
      <c r="B780" s="12" t="s">
        <v>1707</v>
      </c>
      <c r="C780" s="12" t="s">
        <v>1688</v>
      </c>
      <c r="D780" s="12"/>
      <c r="E780" s="13">
        <v>-80</v>
      </c>
    </row>
    <row r="781" spans="1:5" x14ac:dyDescent="0.25">
      <c r="A781" s="11">
        <v>45838</v>
      </c>
      <c r="B781" s="12" t="s">
        <v>660</v>
      </c>
      <c r="C781" s="12" t="s">
        <v>1679</v>
      </c>
      <c r="D781" s="12"/>
      <c r="E781" s="13">
        <v>-80</v>
      </c>
    </row>
    <row r="782" spans="1:5" x14ac:dyDescent="0.25">
      <c r="A782" s="11">
        <v>45838</v>
      </c>
      <c r="B782" s="12" t="s">
        <v>1708</v>
      </c>
      <c r="C782" s="12" t="s">
        <v>1709</v>
      </c>
      <c r="D782" s="12"/>
      <c r="E782" s="13">
        <v>-90</v>
      </c>
    </row>
    <row r="783" spans="1:5" x14ac:dyDescent="0.25">
      <c r="A783" s="11">
        <v>45838</v>
      </c>
      <c r="B783" s="12" t="s">
        <v>1710</v>
      </c>
      <c r="C783" s="12" t="s">
        <v>1613</v>
      </c>
      <c r="D783" s="12"/>
      <c r="E783" s="13">
        <v>-225</v>
      </c>
    </row>
    <row r="784" spans="1:5" x14ac:dyDescent="0.25">
      <c r="A784" s="11">
        <v>45838</v>
      </c>
      <c r="B784" s="12" t="s">
        <v>1711</v>
      </c>
      <c r="C784" s="12" t="s">
        <v>1712</v>
      </c>
      <c r="D784" s="12"/>
      <c r="E784" s="13">
        <v>-390.5</v>
      </c>
    </row>
    <row r="785" spans="1:5" x14ac:dyDescent="0.25">
      <c r="A785" s="11">
        <v>45838</v>
      </c>
      <c r="B785" s="12" t="s">
        <v>1713</v>
      </c>
      <c r="C785" s="12" t="s">
        <v>1714</v>
      </c>
      <c r="D785" s="12"/>
      <c r="E785" s="13">
        <v>-430.5</v>
      </c>
    </row>
  </sheetData>
  <pageMargins left="0.7" right="0.7" top="0.75" bottom="0.75" header="0.1" footer="0.3"/>
  <pageSetup orientation="portrait" r:id="rId1"/>
  <headerFooter>
    <oddHeader>&amp;L&amp;"Arial,Bold"&amp;8 10:02 AM
&amp;"Arial,Bold"&amp;8 08/11/25
&amp;"Arial,Bold"&amp;8 &amp;C&amp;"Arial,Bold"&amp;12 SAI ENVIRONMENTAL CONSULTANTS, INC
&amp;"Arial,Bold"&amp;14 Vendor QuickReport
&amp;"Arial,Bold"&amp;10 All Transactions</oddHeader>
    <oddFooter>&amp;R&amp;"Arial,Bold"&amp;8 Page &amp;P of &amp;N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98C0-9275-4217-B66F-700BD9EDA674}">
  <dimension ref="A1:H153"/>
  <sheetViews>
    <sheetView workbookViewId="0">
      <selection activeCell="H14" sqref="H14"/>
    </sheetView>
  </sheetViews>
  <sheetFormatPr defaultRowHeight="15" x14ac:dyDescent="0.25"/>
  <cols>
    <col min="4" max="4" width="11.85546875" bestFit="1" customWidth="1"/>
    <col min="5" max="5" width="12.42578125" bestFit="1" customWidth="1"/>
  </cols>
  <sheetData>
    <row r="1" spans="1:8" x14ac:dyDescent="0.25">
      <c r="A1" t="s">
        <v>1793</v>
      </c>
      <c r="B1" t="s">
        <v>50</v>
      </c>
      <c r="C1" t="s">
        <v>1792</v>
      </c>
      <c r="D1" t="s">
        <v>1768</v>
      </c>
      <c r="E1" t="s">
        <v>1885</v>
      </c>
      <c r="F1" t="s">
        <v>1882</v>
      </c>
      <c r="G1" t="s">
        <v>1883</v>
      </c>
      <c r="H1" t="s">
        <v>1884</v>
      </c>
    </row>
    <row r="2" spans="1:8" x14ac:dyDescent="0.25">
      <c r="A2">
        <v>75992</v>
      </c>
      <c r="B2" t="s">
        <v>53</v>
      </c>
      <c r="C2" t="s">
        <v>1769</v>
      </c>
      <c r="D2" t="s">
        <v>1766</v>
      </c>
      <c r="E2" t="s">
        <v>1783</v>
      </c>
      <c r="F2">
        <v>12</v>
      </c>
      <c r="G2">
        <v>6</v>
      </c>
      <c r="H2">
        <v>72</v>
      </c>
    </row>
    <row r="3" spans="1:8" x14ac:dyDescent="0.25">
      <c r="A3">
        <v>75992</v>
      </c>
      <c r="B3" t="s">
        <v>53</v>
      </c>
      <c r="C3" t="s">
        <v>1769</v>
      </c>
      <c r="D3" t="s">
        <v>1766</v>
      </c>
      <c r="E3" t="s">
        <v>1784</v>
      </c>
      <c r="F3">
        <v>12</v>
      </c>
      <c r="G3">
        <v>6</v>
      </c>
      <c r="H3">
        <v>72</v>
      </c>
    </row>
    <row r="4" spans="1:8" x14ac:dyDescent="0.25">
      <c r="A4">
        <v>75992</v>
      </c>
      <c r="B4" t="s">
        <v>53</v>
      </c>
      <c r="C4" t="s">
        <v>1769</v>
      </c>
      <c r="D4" t="s">
        <v>1766</v>
      </c>
      <c r="E4" t="s">
        <v>1785</v>
      </c>
      <c r="F4">
        <v>12</v>
      </c>
      <c r="G4">
        <v>6</v>
      </c>
      <c r="H4">
        <v>72</v>
      </c>
    </row>
    <row r="5" spans="1:8" x14ac:dyDescent="0.25">
      <c r="A5">
        <v>75992</v>
      </c>
      <c r="B5" t="s">
        <v>53</v>
      </c>
      <c r="C5" t="s">
        <v>1769</v>
      </c>
      <c r="D5" t="s">
        <v>1766</v>
      </c>
      <c r="E5" t="s">
        <v>1786</v>
      </c>
      <c r="F5">
        <v>14</v>
      </c>
      <c r="G5">
        <v>6</v>
      </c>
      <c r="H5">
        <v>84</v>
      </c>
    </row>
    <row r="6" spans="1:8" x14ac:dyDescent="0.25">
      <c r="A6">
        <v>75992</v>
      </c>
      <c r="B6" t="s">
        <v>53</v>
      </c>
      <c r="C6" t="s">
        <v>1769</v>
      </c>
      <c r="D6" t="s">
        <v>1766</v>
      </c>
      <c r="E6" t="s">
        <v>1787</v>
      </c>
      <c r="F6">
        <v>6</v>
      </c>
      <c r="G6">
        <v>6</v>
      </c>
      <c r="H6">
        <v>36</v>
      </c>
    </row>
    <row r="7" spans="1:8" x14ac:dyDescent="0.25">
      <c r="A7">
        <v>75992</v>
      </c>
      <c r="B7" t="s">
        <v>53</v>
      </c>
      <c r="C7" t="s">
        <v>1769</v>
      </c>
      <c r="D7" t="s">
        <v>1766</v>
      </c>
      <c r="E7" t="s">
        <v>1788</v>
      </c>
      <c r="F7">
        <v>8</v>
      </c>
      <c r="G7">
        <v>6</v>
      </c>
      <c r="H7">
        <v>48</v>
      </c>
    </row>
    <row r="8" spans="1:8" x14ac:dyDescent="0.25">
      <c r="A8">
        <v>75992</v>
      </c>
      <c r="B8" t="s">
        <v>53</v>
      </c>
      <c r="C8" t="s">
        <v>1769</v>
      </c>
      <c r="D8" t="s">
        <v>1767</v>
      </c>
      <c r="E8" t="s">
        <v>1789</v>
      </c>
      <c r="F8">
        <v>12</v>
      </c>
      <c r="G8">
        <v>6</v>
      </c>
      <c r="H8">
        <v>72</v>
      </c>
    </row>
    <row r="9" spans="1:8" x14ac:dyDescent="0.25">
      <c r="A9">
        <v>75992</v>
      </c>
      <c r="B9" t="s">
        <v>53</v>
      </c>
      <c r="C9" t="s">
        <v>1769</v>
      </c>
      <c r="D9" t="s">
        <v>1766</v>
      </c>
      <c r="E9" t="s">
        <v>1790</v>
      </c>
      <c r="F9">
        <v>14</v>
      </c>
      <c r="G9">
        <v>6</v>
      </c>
      <c r="H9">
        <v>84</v>
      </c>
    </row>
    <row r="10" spans="1:8" x14ac:dyDescent="0.25">
      <c r="A10">
        <v>75992</v>
      </c>
      <c r="B10" t="s">
        <v>53</v>
      </c>
      <c r="C10" t="s">
        <v>1769</v>
      </c>
      <c r="D10" t="s">
        <v>1774</v>
      </c>
      <c r="E10" t="s">
        <v>1791</v>
      </c>
      <c r="F10">
        <v>12</v>
      </c>
      <c r="G10">
        <v>6</v>
      </c>
      <c r="H10">
        <v>72</v>
      </c>
    </row>
    <row r="11" spans="1:8" x14ac:dyDescent="0.25">
      <c r="A11">
        <v>75887</v>
      </c>
      <c r="B11" t="s">
        <v>1729</v>
      </c>
      <c r="D11" t="s">
        <v>61</v>
      </c>
      <c r="E11" t="s">
        <v>1770</v>
      </c>
      <c r="F11">
        <v>6</v>
      </c>
      <c r="G11">
        <v>16</v>
      </c>
      <c r="H11">
        <v>96</v>
      </c>
    </row>
    <row r="12" spans="1:8" x14ac:dyDescent="0.25">
      <c r="A12">
        <v>75887</v>
      </c>
      <c r="B12" t="s">
        <v>1729</v>
      </c>
      <c r="D12" t="s">
        <v>467</v>
      </c>
      <c r="E12" t="s">
        <v>1770</v>
      </c>
      <c r="F12">
        <v>6</v>
      </c>
      <c r="G12">
        <v>26</v>
      </c>
      <c r="H12">
        <v>156</v>
      </c>
    </row>
    <row r="13" spans="1:8" x14ac:dyDescent="0.25">
      <c r="A13">
        <v>75887</v>
      </c>
      <c r="B13" t="s">
        <v>1729</v>
      </c>
      <c r="D13" t="s">
        <v>466</v>
      </c>
      <c r="E13" t="s">
        <v>1770</v>
      </c>
      <c r="F13">
        <v>30</v>
      </c>
      <c r="G13">
        <v>6</v>
      </c>
      <c r="H13">
        <v>180</v>
      </c>
    </row>
    <row r="14" spans="1:8" x14ac:dyDescent="0.25">
      <c r="A14">
        <v>75570</v>
      </c>
      <c r="B14" t="s">
        <v>477</v>
      </c>
      <c r="C14" t="s">
        <v>476</v>
      </c>
      <c r="D14" t="s">
        <v>1771</v>
      </c>
      <c r="E14" t="s">
        <v>609</v>
      </c>
      <c r="F14">
        <v>5</v>
      </c>
      <c r="G14">
        <v>40</v>
      </c>
      <c r="H14">
        <v>200</v>
      </c>
    </row>
    <row r="15" spans="1:8" x14ac:dyDescent="0.25">
      <c r="A15">
        <v>75989</v>
      </c>
      <c r="B15" t="s">
        <v>1772</v>
      </c>
      <c r="C15" t="s">
        <v>1773</v>
      </c>
      <c r="D15" t="s">
        <v>1774</v>
      </c>
      <c r="E15" t="s">
        <v>1775</v>
      </c>
      <c r="F15">
        <v>15</v>
      </c>
      <c r="G15">
        <v>6</v>
      </c>
      <c r="H15">
        <f t="shared" ref="H15:H32" si="0">F15*G15</f>
        <v>90</v>
      </c>
    </row>
    <row r="16" spans="1:8" x14ac:dyDescent="0.25">
      <c r="A16">
        <v>75989</v>
      </c>
      <c r="B16" t="s">
        <v>1772</v>
      </c>
      <c r="C16" t="s">
        <v>1773</v>
      </c>
      <c r="D16" t="s">
        <v>1774</v>
      </c>
      <c r="E16" t="s">
        <v>1776</v>
      </c>
      <c r="F16">
        <v>7</v>
      </c>
      <c r="G16">
        <v>6</v>
      </c>
      <c r="H16">
        <f t="shared" si="0"/>
        <v>42</v>
      </c>
    </row>
    <row r="17" spans="1:8" x14ac:dyDescent="0.25">
      <c r="A17">
        <v>75989</v>
      </c>
      <c r="B17" t="s">
        <v>1772</v>
      </c>
      <c r="C17" t="s">
        <v>1773</v>
      </c>
      <c r="D17" t="s">
        <v>1774</v>
      </c>
      <c r="E17" t="s">
        <v>1778</v>
      </c>
      <c r="F17">
        <v>7</v>
      </c>
      <c r="G17">
        <v>6</v>
      </c>
      <c r="H17">
        <f t="shared" si="0"/>
        <v>42</v>
      </c>
    </row>
    <row r="18" spans="1:8" x14ac:dyDescent="0.25">
      <c r="A18">
        <v>75989</v>
      </c>
      <c r="B18" t="s">
        <v>1772</v>
      </c>
      <c r="C18" t="s">
        <v>1773</v>
      </c>
      <c r="D18" t="s">
        <v>1774</v>
      </c>
      <c r="E18" t="s">
        <v>1777</v>
      </c>
      <c r="F18">
        <v>8</v>
      </c>
      <c r="G18">
        <v>6</v>
      </c>
      <c r="H18">
        <f t="shared" si="0"/>
        <v>48</v>
      </c>
    </row>
    <row r="19" spans="1:8" x14ac:dyDescent="0.25">
      <c r="A19">
        <v>76234</v>
      </c>
      <c r="B19" t="s">
        <v>1715</v>
      </c>
      <c r="D19" t="s">
        <v>466</v>
      </c>
      <c r="E19" t="s">
        <v>1779</v>
      </c>
      <c r="F19">
        <v>3</v>
      </c>
      <c r="G19">
        <v>16</v>
      </c>
      <c r="H19">
        <f t="shared" si="0"/>
        <v>48</v>
      </c>
    </row>
    <row r="20" spans="1:8" x14ac:dyDescent="0.25">
      <c r="A20">
        <v>76234</v>
      </c>
      <c r="B20" t="s">
        <v>1715</v>
      </c>
      <c r="D20" t="s">
        <v>467</v>
      </c>
      <c r="E20" t="s">
        <v>1779</v>
      </c>
      <c r="F20">
        <v>3</v>
      </c>
      <c r="G20">
        <v>26</v>
      </c>
      <c r="H20">
        <f t="shared" si="0"/>
        <v>78</v>
      </c>
    </row>
    <row r="21" spans="1:8" x14ac:dyDescent="0.25">
      <c r="A21">
        <v>76234</v>
      </c>
      <c r="B21" t="s">
        <v>1715</v>
      </c>
      <c r="D21" t="s">
        <v>61</v>
      </c>
      <c r="E21" t="s">
        <v>1779</v>
      </c>
      <c r="F21">
        <v>6</v>
      </c>
      <c r="G21">
        <v>6</v>
      </c>
      <c r="H21">
        <f t="shared" si="0"/>
        <v>36</v>
      </c>
    </row>
    <row r="22" spans="1:8" x14ac:dyDescent="0.25">
      <c r="A22">
        <v>76347</v>
      </c>
      <c r="B22" t="s">
        <v>1716</v>
      </c>
      <c r="C22" t="s">
        <v>1780</v>
      </c>
      <c r="D22" t="s">
        <v>14</v>
      </c>
      <c r="E22" t="s">
        <v>1781</v>
      </c>
      <c r="F22">
        <v>6</v>
      </c>
      <c r="G22">
        <v>40</v>
      </c>
      <c r="H22">
        <f t="shared" si="0"/>
        <v>240</v>
      </c>
    </row>
    <row r="23" spans="1:8" x14ac:dyDescent="0.25">
      <c r="A23">
        <v>76681</v>
      </c>
      <c r="B23" t="s">
        <v>1735</v>
      </c>
      <c r="C23" t="s">
        <v>1712</v>
      </c>
      <c r="D23" t="s">
        <v>14</v>
      </c>
      <c r="E23" t="s">
        <v>1782</v>
      </c>
      <c r="F23">
        <v>5</v>
      </c>
      <c r="G23">
        <v>40</v>
      </c>
      <c r="H23">
        <f t="shared" si="0"/>
        <v>200</v>
      </c>
    </row>
    <row r="24" spans="1:8" x14ac:dyDescent="0.25">
      <c r="A24">
        <v>75571</v>
      </c>
      <c r="B24" t="s">
        <v>94</v>
      </c>
      <c r="C24" t="s">
        <v>1709</v>
      </c>
      <c r="D24" t="s">
        <v>14</v>
      </c>
      <c r="E24" t="s">
        <v>1794</v>
      </c>
      <c r="F24">
        <v>5</v>
      </c>
      <c r="G24">
        <v>40</v>
      </c>
      <c r="H24">
        <f t="shared" si="0"/>
        <v>200</v>
      </c>
    </row>
    <row r="25" spans="1:8" x14ac:dyDescent="0.25">
      <c r="A25">
        <v>75481</v>
      </c>
      <c r="B25" t="s">
        <v>1730</v>
      </c>
      <c r="C25" t="s">
        <v>1630</v>
      </c>
      <c r="D25" t="s">
        <v>1795</v>
      </c>
      <c r="E25" t="s">
        <v>1796</v>
      </c>
      <c r="F25">
        <v>12</v>
      </c>
      <c r="G25">
        <v>6</v>
      </c>
      <c r="H25">
        <f t="shared" si="0"/>
        <v>72</v>
      </c>
    </row>
    <row r="26" spans="1:8" x14ac:dyDescent="0.25">
      <c r="A26">
        <v>75481</v>
      </c>
      <c r="B26" t="s">
        <v>1730</v>
      </c>
      <c r="C26" t="s">
        <v>1630</v>
      </c>
      <c r="D26" t="s">
        <v>1766</v>
      </c>
      <c r="E26" t="s">
        <v>1798</v>
      </c>
      <c r="F26">
        <v>6</v>
      </c>
      <c r="G26">
        <v>6</v>
      </c>
      <c r="H26">
        <f t="shared" si="0"/>
        <v>36</v>
      </c>
    </row>
    <row r="27" spans="1:8" x14ac:dyDescent="0.25">
      <c r="A27">
        <v>75481</v>
      </c>
      <c r="B27" t="s">
        <v>1730</v>
      </c>
      <c r="C27" t="s">
        <v>1630</v>
      </c>
      <c r="D27" t="s">
        <v>1766</v>
      </c>
      <c r="E27" t="s">
        <v>1797</v>
      </c>
      <c r="F27">
        <v>14</v>
      </c>
      <c r="G27">
        <v>6</v>
      </c>
      <c r="H27">
        <f t="shared" si="0"/>
        <v>84</v>
      </c>
    </row>
    <row r="28" spans="1:8" x14ac:dyDescent="0.25">
      <c r="A28">
        <v>75481</v>
      </c>
      <c r="B28" t="s">
        <v>1730</v>
      </c>
      <c r="C28" t="s">
        <v>1630</v>
      </c>
      <c r="D28" t="s">
        <v>1766</v>
      </c>
      <c r="E28" t="s">
        <v>1799</v>
      </c>
      <c r="F28">
        <v>8</v>
      </c>
      <c r="G28">
        <v>6</v>
      </c>
      <c r="H28">
        <f t="shared" si="0"/>
        <v>48</v>
      </c>
    </row>
    <row r="29" spans="1:8" x14ac:dyDescent="0.25">
      <c r="A29">
        <v>75481</v>
      </c>
      <c r="B29" t="s">
        <v>1730</v>
      </c>
      <c r="C29" t="s">
        <v>1630</v>
      </c>
      <c r="D29" t="s">
        <v>1766</v>
      </c>
      <c r="E29" t="s">
        <v>1800</v>
      </c>
      <c r="F29">
        <v>12</v>
      </c>
      <c r="G29">
        <v>6</v>
      </c>
      <c r="H29">
        <f t="shared" si="0"/>
        <v>72</v>
      </c>
    </row>
    <row r="30" spans="1:8" x14ac:dyDescent="0.25">
      <c r="A30">
        <v>75481</v>
      </c>
      <c r="B30" t="s">
        <v>1730</v>
      </c>
      <c r="C30" t="s">
        <v>1630</v>
      </c>
      <c r="D30" t="s">
        <v>1766</v>
      </c>
      <c r="E30" t="s">
        <v>1801</v>
      </c>
      <c r="F30">
        <v>14</v>
      </c>
      <c r="G30">
        <v>6</v>
      </c>
      <c r="H30">
        <f t="shared" si="0"/>
        <v>84</v>
      </c>
    </row>
    <row r="31" spans="1:8" x14ac:dyDescent="0.25">
      <c r="A31">
        <v>75481</v>
      </c>
      <c r="B31" t="s">
        <v>1730</v>
      </c>
      <c r="C31" t="s">
        <v>1630</v>
      </c>
      <c r="D31" t="s">
        <v>1766</v>
      </c>
      <c r="E31" t="s">
        <v>1802</v>
      </c>
      <c r="F31">
        <v>12</v>
      </c>
      <c r="G31">
        <v>6</v>
      </c>
      <c r="H31">
        <f t="shared" si="0"/>
        <v>72</v>
      </c>
    </row>
    <row r="32" spans="1:8" x14ac:dyDescent="0.25">
      <c r="A32">
        <v>65708</v>
      </c>
      <c r="B32" t="s">
        <v>218</v>
      </c>
      <c r="C32" t="s">
        <v>217</v>
      </c>
      <c r="D32" t="s">
        <v>1771</v>
      </c>
      <c r="E32" t="s">
        <v>212</v>
      </c>
      <c r="F32">
        <v>5</v>
      </c>
      <c r="G32">
        <v>40</v>
      </c>
      <c r="H32">
        <f t="shared" si="0"/>
        <v>200</v>
      </c>
    </row>
    <row r="33" spans="1:8" x14ac:dyDescent="0.25">
      <c r="A33">
        <v>65708</v>
      </c>
      <c r="B33" t="s">
        <v>218</v>
      </c>
      <c r="C33" t="s">
        <v>217</v>
      </c>
      <c r="D33" t="s">
        <v>1771</v>
      </c>
      <c r="E33" t="s">
        <v>213</v>
      </c>
      <c r="F33">
        <v>5</v>
      </c>
      <c r="G33">
        <v>40</v>
      </c>
      <c r="H33">
        <f t="shared" ref="H33:H38" si="1">F33*G33</f>
        <v>200</v>
      </c>
    </row>
    <row r="34" spans="1:8" x14ac:dyDescent="0.25">
      <c r="A34">
        <v>66451</v>
      </c>
      <c r="B34" t="s">
        <v>218</v>
      </c>
      <c r="C34" t="s">
        <v>217</v>
      </c>
      <c r="D34" t="s">
        <v>1766</v>
      </c>
      <c r="E34" t="s">
        <v>206</v>
      </c>
      <c r="F34">
        <v>22</v>
      </c>
      <c r="G34">
        <v>6</v>
      </c>
      <c r="H34">
        <f t="shared" si="1"/>
        <v>132</v>
      </c>
    </row>
    <row r="35" spans="1:8" x14ac:dyDescent="0.25">
      <c r="A35">
        <v>66451</v>
      </c>
      <c r="B35" t="s">
        <v>218</v>
      </c>
      <c r="C35" t="s">
        <v>217</v>
      </c>
      <c r="D35" t="s">
        <v>1795</v>
      </c>
      <c r="E35" t="s">
        <v>209</v>
      </c>
      <c r="F35">
        <v>12</v>
      </c>
      <c r="G35">
        <v>6</v>
      </c>
      <c r="H35">
        <f t="shared" si="1"/>
        <v>72</v>
      </c>
    </row>
    <row r="36" spans="1:8" x14ac:dyDescent="0.25">
      <c r="A36">
        <v>66451</v>
      </c>
      <c r="B36" t="s">
        <v>218</v>
      </c>
      <c r="C36" t="s">
        <v>217</v>
      </c>
      <c r="D36" t="s">
        <v>1795</v>
      </c>
      <c r="E36" t="s">
        <v>210</v>
      </c>
      <c r="F36">
        <v>12</v>
      </c>
      <c r="G36">
        <v>6</v>
      </c>
      <c r="H36">
        <f t="shared" si="1"/>
        <v>72</v>
      </c>
    </row>
    <row r="37" spans="1:8" x14ac:dyDescent="0.25">
      <c r="A37">
        <v>66451</v>
      </c>
      <c r="B37" t="s">
        <v>218</v>
      </c>
      <c r="C37" t="s">
        <v>217</v>
      </c>
      <c r="D37" t="s">
        <v>1766</v>
      </c>
      <c r="E37" t="s">
        <v>208</v>
      </c>
      <c r="F37">
        <v>12</v>
      </c>
      <c r="G37">
        <v>6</v>
      </c>
      <c r="H37">
        <f t="shared" si="1"/>
        <v>72</v>
      </c>
    </row>
    <row r="38" spans="1:8" x14ac:dyDescent="0.25">
      <c r="A38">
        <v>75979</v>
      </c>
      <c r="B38" t="s">
        <v>218</v>
      </c>
      <c r="C38" t="s">
        <v>217</v>
      </c>
      <c r="D38" t="s">
        <v>1766</v>
      </c>
      <c r="E38" t="s">
        <v>216</v>
      </c>
      <c r="F38">
        <v>14</v>
      </c>
      <c r="G38">
        <v>6</v>
      </c>
      <c r="H38">
        <f t="shared" si="1"/>
        <v>84</v>
      </c>
    </row>
    <row r="39" spans="1:8" x14ac:dyDescent="0.25">
      <c r="A39">
        <v>75979</v>
      </c>
      <c r="B39" t="s">
        <v>218</v>
      </c>
      <c r="C39" t="s">
        <v>217</v>
      </c>
      <c r="D39" t="s">
        <v>1766</v>
      </c>
      <c r="E39" t="s">
        <v>215</v>
      </c>
      <c r="F39">
        <v>14</v>
      </c>
      <c r="G39">
        <v>6</v>
      </c>
      <c r="H39">
        <f t="shared" ref="H39:H66" si="2">F39*G39</f>
        <v>84</v>
      </c>
    </row>
    <row r="40" spans="1:8" x14ac:dyDescent="0.25">
      <c r="A40">
        <v>75979</v>
      </c>
      <c r="B40" t="s">
        <v>218</v>
      </c>
      <c r="C40" t="s">
        <v>217</v>
      </c>
      <c r="D40" t="s">
        <v>1766</v>
      </c>
      <c r="E40" t="s">
        <v>214</v>
      </c>
      <c r="F40">
        <v>14</v>
      </c>
      <c r="G40">
        <v>6</v>
      </c>
      <c r="H40">
        <f t="shared" si="2"/>
        <v>84</v>
      </c>
    </row>
    <row r="41" spans="1:8" x14ac:dyDescent="0.25">
      <c r="A41">
        <v>70670</v>
      </c>
      <c r="B41" t="s">
        <v>196</v>
      </c>
      <c r="C41" t="s">
        <v>195</v>
      </c>
      <c r="D41" t="s">
        <v>2505</v>
      </c>
      <c r="E41" t="s">
        <v>2509</v>
      </c>
      <c r="F41">
        <v>12</v>
      </c>
      <c r="G41">
        <v>6</v>
      </c>
      <c r="H41">
        <f t="shared" si="2"/>
        <v>72</v>
      </c>
    </row>
    <row r="42" spans="1:8" x14ac:dyDescent="0.25">
      <c r="A42">
        <v>70670</v>
      </c>
      <c r="B42" t="s">
        <v>196</v>
      </c>
      <c r="C42" t="s">
        <v>195</v>
      </c>
      <c r="D42" t="s">
        <v>2506</v>
      </c>
      <c r="E42" t="s">
        <v>2510</v>
      </c>
      <c r="F42">
        <v>18</v>
      </c>
      <c r="G42">
        <v>6</v>
      </c>
      <c r="H42">
        <f t="shared" si="2"/>
        <v>108</v>
      </c>
    </row>
    <row r="43" spans="1:8" x14ac:dyDescent="0.25">
      <c r="A43">
        <v>70670</v>
      </c>
      <c r="B43" t="s">
        <v>196</v>
      </c>
      <c r="C43" t="s">
        <v>195</v>
      </c>
      <c r="D43" t="s">
        <v>1795</v>
      </c>
      <c r="E43" t="s">
        <v>2511</v>
      </c>
      <c r="F43">
        <v>12</v>
      </c>
      <c r="G43">
        <v>6</v>
      </c>
      <c r="H43">
        <f t="shared" si="2"/>
        <v>72</v>
      </c>
    </row>
    <row r="44" spans="1:8" x14ac:dyDescent="0.25">
      <c r="A44">
        <v>70670</v>
      </c>
      <c r="B44" t="s">
        <v>196</v>
      </c>
      <c r="C44" t="s">
        <v>195</v>
      </c>
      <c r="D44" t="s">
        <v>2505</v>
      </c>
      <c r="E44" t="s">
        <v>2512</v>
      </c>
      <c r="F44">
        <v>12</v>
      </c>
      <c r="G44">
        <v>6</v>
      </c>
      <c r="H44">
        <f t="shared" si="2"/>
        <v>72</v>
      </c>
    </row>
    <row r="45" spans="1:8" x14ac:dyDescent="0.25">
      <c r="A45">
        <v>70670</v>
      </c>
      <c r="B45" t="s">
        <v>196</v>
      </c>
      <c r="C45" t="s">
        <v>195</v>
      </c>
      <c r="D45" t="s">
        <v>1766</v>
      </c>
      <c r="E45" t="s">
        <v>2513</v>
      </c>
      <c r="F45">
        <v>12</v>
      </c>
      <c r="G45">
        <v>6</v>
      </c>
      <c r="H45">
        <f t="shared" si="2"/>
        <v>72</v>
      </c>
    </row>
    <row r="46" spans="1:8" x14ac:dyDescent="0.25">
      <c r="A46">
        <v>70670</v>
      </c>
      <c r="B46" t="s">
        <v>196</v>
      </c>
      <c r="C46" t="s">
        <v>195</v>
      </c>
      <c r="D46" t="s">
        <v>2506</v>
      </c>
      <c r="E46" t="s">
        <v>2514</v>
      </c>
      <c r="F46">
        <v>12</v>
      </c>
      <c r="G46">
        <v>6</v>
      </c>
      <c r="H46">
        <f t="shared" si="2"/>
        <v>72</v>
      </c>
    </row>
    <row r="47" spans="1:8" x14ac:dyDescent="0.25">
      <c r="A47">
        <v>70670</v>
      </c>
      <c r="B47" t="s">
        <v>196</v>
      </c>
      <c r="C47" t="s">
        <v>195</v>
      </c>
      <c r="D47" t="s">
        <v>2506</v>
      </c>
      <c r="E47" t="s">
        <v>2515</v>
      </c>
      <c r="F47">
        <v>14</v>
      </c>
      <c r="G47">
        <v>6</v>
      </c>
      <c r="H47">
        <f t="shared" si="2"/>
        <v>84</v>
      </c>
    </row>
    <row r="48" spans="1:8" x14ac:dyDescent="0.25">
      <c r="A48">
        <v>70670</v>
      </c>
      <c r="B48" t="s">
        <v>196</v>
      </c>
      <c r="C48" t="s">
        <v>195</v>
      </c>
      <c r="D48" t="s">
        <v>1795</v>
      </c>
      <c r="E48" t="s">
        <v>2516</v>
      </c>
      <c r="F48">
        <v>12</v>
      </c>
      <c r="G48">
        <v>6</v>
      </c>
      <c r="H48">
        <f t="shared" si="2"/>
        <v>72</v>
      </c>
    </row>
    <row r="49" spans="1:8" x14ac:dyDescent="0.25">
      <c r="A49">
        <v>70670</v>
      </c>
      <c r="B49" t="s">
        <v>196</v>
      </c>
      <c r="C49" t="s">
        <v>195</v>
      </c>
      <c r="D49" t="s">
        <v>2506</v>
      </c>
      <c r="E49" t="s">
        <v>2517</v>
      </c>
      <c r="F49">
        <v>12</v>
      </c>
      <c r="G49">
        <v>6</v>
      </c>
      <c r="H49">
        <f t="shared" si="2"/>
        <v>72</v>
      </c>
    </row>
    <row r="50" spans="1:8" x14ac:dyDescent="0.25">
      <c r="A50">
        <v>70670</v>
      </c>
      <c r="B50" t="s">
        <v>196</v>
      </c>
      <c r="C50" t="s">
        <v>195</v>
      </c>
      <c r="D50" t="s">
        <v>1766</v>
      </c>
      <c r="E50" t="s">
        <v>2518</v>
      </c>
      <c r="F50">
        <v>8</v>
      </c>
      <c r="G50">
        <v>6</v>
      </c>
      <c r="H50">
        <f t="shared" si="2"/>
        <v>48</v>
      </c>
    </row>
    <row r="51" spans="1:8" x14ac:dyDescent="0.25">
      <c r="A51">
        <v>70670</v>
      </c>
      <c r="B51" t="s">
        <v>196</v>
      </c>
      <c r="C51" t="s">
        <v>195</v>
      </c>
      <c r="D51" t="s">
        <v>1795</v>
      </c>
      <c r="E51" t="s">
        <v>2519</v>
      </c>
      <c r="F51">
        <v>12</v>
      </c>
      <c r="G51">
        <v>6</v>
      </c>
      <c r="H51">
        <f t="shared" si="2"/>
        <v>72</v>
      </c>
    </row>
    <row r="52" spans="1:8" x14ac:dyDescent="0.25">
      <c r="A52">
        <v>70670</v>
      </c>
      <c r="B52" t="s">
        <v>196</v>
      </c>
      <c r="C52" t="s">
        <v>195</v>
      </c>
      <c r="D52" t="s">
        <v>2506</v>
      </c>
      <c r="E52" t="s">
        <v>2520</v>
      </c>
      <c r="F52">
        <v>12</v>
      </c>
      <c r="G52">
        <v>6</v>
      </c>
      <c r="H52">
        <f t="shared" si="2"/>
        <v>72</v>
      </c>
    </row>
    <row r="53" spans="1:8" x14ac:dyDescent="0.25">
      <c r="A53">
        <v>70670</v>
      </c>
      <c r="B53" t="s">
        <v>196</v>
      </c>
      <c r="C53" t="s">
        <v>195</v>
      </c>
      <c r="D53" t="s">
        <v>2506</v>
      </c>
      <c r="E53" t="s">
        <v>2521</v>
      </c>
      <c r="F53">
        <v>18</v>
      </c>
      <c r="G53">
        <v>6</v>
      </c>
      <c r="H53">
        <f t="shared" si="2"/>
        <v>108</v>
      </c>
    </row>
    <row r="54" spans="1:8" x14ac:dyDescent="0.25">
      <c r="A54">
        <v>70670</v>
      </c>
      <c r="B54" t="s">
        <v>196</v>
      </c>
      <c r="C54" t="s">
        <v>195</v>
      </c>
      <c r="D54" t="s">
        <v>1766</v>
      </c>
      <c r="E54" t="s">
        <v>2522</v>
      </c>
      <c r="F54">
        <v>12</v>
      </c>
      <c r="G54">
        <v>6</v>
      </c>
      <c r="H54">
        <f t="shared" si="2"/>
        <v>72</v>
      </c>
    </row>
    <row r="55" spans="1:8" x14ac:dyDescent="0.25">
      <c r="A55">
        <v>70670</v>
      </c>
      <c r="B55" t="s">
        <v>196</v>
      </c>
      <c r="C55" t="s">
        <v>195</v>
      </c>
      <c r="D55" t="s">
        <v>2508</v>
      </c>
      <c r="E55" t="s">
        <v>2523</v>
      </c>
      <c r="F55">
        <v>12</v>
      </c>
      <c r="G55">
        <v>6</v>
      </c>
      <c r="H55">
        <f t="shared" si="2"/>
        <v>72</v>
      </c>
    </row>
    <row r="56" spans="1:8" x14ac:dyDescent="0.25">
      <c r="A56">
        <v>70670</v>
      </c>
      <c r="B56" t="s">
        <v>196</v>
      </c>
      <c r="C56" t="s">
        <v>195</v>
      </c>
      <c r="D56" t="s">
        <v>2506</v>
      </c>
      <c r="E56" t="s">
        <v>2524</v>
      </c>
      <c r="F56">
        <v>12</v>
      </c>
      <c r="G56">
        <v>6</v>
      </c>
      <c r="H56">
        <f t="shared" si="2"/>
        <v>72</v>
      </c>
    </row>
    <row r="57" spans="1:8" x14ac:dyDescent="0.25">
      <c r="A57">
        <v>70670</v>
      </c>
      <c r="B57" t="s">
        <v>196</v>
      </c>
      <c r="C57" t="s">
        <v>195</v>
      </c>
      <c r="D57" t="s">
        <v>1766</v>
      </c>
      <c r="E57" t="s">
        <v>2525</v>
      </c>
      <c r="F57">
        <v>18</v>
      </c>
      <c r="G57">
        <v>6</v>
      </c>
      <c r="H57">
        <f t="shared" si="2"/>
        <v>108</v>
      </c>
    </row>
    <row r="58" spans="1:8" x14ac:dyDescent="0.25">
      <c r="A58">
        <v>70670</v>
      </c>
      <c r="B58" t="s">
        <v>196</v>
      </c>
      <c r="C58" t="s">
        <v>195</v>
      </c>
      <c r="D58" t="s">
        <v>1767</v>
      </c>
      <c r="E58" t="s">
        <v>2526</v>
      </c>
      <c r="F58">
        <v>12</v>
      </c>
      <c r="G58">
        <v>6</v>
      </c>
      <c r="H58">
        <f t="shared" si="2"/>
        <v>72</v>
      </c>
    </row>
    <row r="59" spans="1:8" x14ac:dyDescent="0.25">
      <c r="A59">
        <v>70670</v>
      </c>
      <c r="B59" t="s">
        <v>196</v>
      </c>
      <c r="C59" t="s">
        <v>195</v>
      </c>
      <c r="D59" t="s">
        <v>1767</v>
      </c>
      <c r="E59" t="s">
        <v>2527</v>
      </c>
      <c r="F59">
        <v>12</v>
      </c>
      <c r="G59">
        <v>6</v>
      </c>
      <c r="H59">
        <f t="shared" si="2"/>
        <v>72</v>
      </c>
    </row>
    <row r="60" spans="1:8" x14ac:dyDescent="0.25">
      <c r="A60">
        <v>70670</v>
      </c>
      <c r="B60" t="s">
        <v>196</v>
      </c>
      <c r="C60" t="s">
        <v>195</v>
      </c>
      <c r="D60" t="s">
        <v>1766</v>
      </c>
      <c r="E60" t="s">
        <v>2528</v>
      </c>
      <c r="F60">
        <v>12</v>
      </c>
      <c r="G60">
        <v>6</v>
      </c>
      <c r="H60">
        <f t="shared" si="2"/>
        <v>72</v>
      </c>
    </row>
    <row r="61" spans="1:8" x14ac:dyDescent="0.25">
      <c r="A61">
        <v>70670</v>
      </c>
      <c r="B61" t="s">
        <v>196</v>
      </c>
      <c r="C61" t="s">
        <v>195</v>
      </c>
      <c r="D61" t="s">
        <v>1766</v>
      </c>
      <c r="E61" t="s">
        <v>2529</v>
      </c>
      <c r="F61">
        <v>12</v>
      </c>
      <c r="G61">
        <v>6</v>
      </c>
      <c r="H61">
        <f t="shared" si="2"/>
        <v>72</v>
      </c>
    </row>
    <row r="62" spans="1:8" x14ac:dyDescent="0.25">
      <c r="A62">
        <v>70670</v>
      </c>
      <c r="B62" t="s">
        <v>196</v>
      </c>
      <c r="C62" t="s">
        <v>195</v>
      </c>
      <c r="D62" t="s">
        <v>1766</v>
      </c>
      <c r="E62" t="s">
        <v>2530</v>
      </c>
      <c r="F62">
        <v>14</v>
      </c>
      <c r="G62">
        <v>6</v>
      </c>
      <c r="H62">
        <f t="shared" si="2"/>
        <v>84</v>
      </c>
    </row>
    <row r="63" spans="1:8" x14ac:dyDescent="0.25">
      <c r="A63">
        <v>70670</v>
      </c>
      <c r="B63" t="s">
        <v>196</v>
      </c>
      <c r="C63" t="s">
        <v>195</v>
      </c>
      <c r="D63" t="s">
        <v>1766</v>
      </c>
      <c r="E63" t="s">
        <v>2531</v>
      </c>
      <c r="F63">
        <v>14</v>
      </c>
      <c r="G63">
        <v>6</v>
      </c>
      <c r="H63">
        <f t="shared" si="2"/>
        <v>84</v>
      </c>
    </row>
    <row r="64" spans="1:8" x14ac:dyDescent="0.25">
      <c r="A64">
        <v>70670</v>
      </c>
      <c r="B64" t="s">
        <v>196</v>
      </c>
      <c r="C64" t="s">
        <v>195</v>
      </c>
      <c r="D64" t="s">
        <v>2507</v>
      </c>
      <c r="E64" t="s">
        <v>2532</v>
      </c>
      <c r="F64">
        <v>12</v>
      </c>
      <c r="G64">
        <v>6</v>
      </c>
      <c r="H64">
        <f t="shared" si="2"/>
        <v>72</v>
      </c>
    </row>
    <row r="65" spans="1:8" x14ac:dyDescent="0.25">
      <c r="A65">
        <v>70670</v>
      </c>
      <c r="B65" t="s">
        <v>196</v>
      </c>
      <c r="C65" t="s">
        <v>195</v>
      </c>
      <c r="D65" t="s">
        <v>2506</v>
      </c>
      <c r="E65" t="s">
        <v>2533</v>
      </c>
      <c r="F65">
        <v>12</v>
      </c>
      <c r="G65">
        <v>6</v>
      </c>
      <c r="H65">
        <f t="shared" si="2"/>
        <v>72</v>
      </c>
    </row>
    <row r="66" spans="1:8" x14ac:dyDescent="0.25">
      <c r="A66">
        <v>70722</v>
      </c>
      <c r="B66" t="s">
        <v>196</v>
      </c>
      <c r="C66" t="s">
        <v>195</v>
      </c>
      <c r="D66" t="s">
        <v>1771</v>
      </c>
      <c r="E66" t="s">
        <v>146</v>
      </c>
      <c r="F66">
        <v>5</v>
      </c>
      <c r="G66">
        <v>40</v>
      </c>
      <c r="H66">
        <f t="shared" si="2"/>
        <v>200</v>
      </c>
    </row>
    <row r="67" spans="1:8" x14ac:dyDescent="0.25">
      <c r="A67">
        <v>70722</v>
      </c>
      <c r="B67" t="s">
        <v>196</v>
      </c>
      <c r="C67" t="s">
        <v>195</v>
      </c>
      <c r="D67" t="s">
        <v>1771</v>
      </c>
      <c r="E67" t="s">
        <v>152</v>
      </c>
      <c r="F67">
        <v>5</v>
      </c>
      <c r="G67">
        <v>40</v>
      </c>
      <c r="H67">
        <f t="shared" ref="H67:H70" si="3">F67*G67</f>
        <v>200</v>
      </c>
    </row>
    <row r="68" spans="1:8" x14ac:dyDescent="0.25">
      <c r="A68">
        <v>70722</v>
      </c>
      <c r="B68" t="s">
        <v>196</v>
      </c>
      <c r="C68" t="s">
        <v>195</v>
      </c>
      <c r="D68" t="s">
        <v>1771</v>
      </c>
      <c r="E68" t="s">
        <v>156</v>
      </c>
      <c r="F68">
        <v>5</v>
      </c>
      <c r="G68">
        <v>40</v>
      </c>
      <c r="H68">
        <f t="shared" si="3"/>
        <v>200</v>
      </c>
    </row>
    <row r="69" spans="1:8" x14ac:dyDescent="0.25">
      <c r="A69">
        <v>70722</v>
      </c>
      <c r="B69" t="s">
        <v>196</v>
      </c>
      <c r="C69" t="s">
        <v>195</v>
      </c>
      <c r="D69" t="s">
        <v>1771</v>
      </c>
      <c r="E69" t="s">
        <v>163</v>
      </c>
      <c r="F69">
        <v>5</v>
      </c>
      <c r="G69">
        <v>40</v>
      </c>
      <c r="H69">
        <f t="shared" si="3"/>
        <v>200</v>
      </c>
    </row>
    <row r="70" spans="1:8" x14ac:dyDescent="0.25">
      <c r="A70">
        <v>70722</v>
      </c>
      <c r="B70" t="s">
        <v>196</v>
      </c>
      <c r="C70" t="s">
        <v>195</v>
      </c>
      <c r="D70" t="s">
        <v>1771</v>
      </c>
      <c r="E70" t="s">
        <v>182</v>
      </c>
      <c r="F70">
        <v>5</v>
      </c>
      <c r="G70">
        <v>40</v>
      </c>
      <c r="H70">
        <f t="shared" si="3"/>
        <v>200</v>
      </c>
    </row>
    <row r="71" spans="1:8" x14ac:dyDescent="0.25">
      <c r="A71">
        <v>70722</v>
      </c>
      <c r="B71" t="s">
        <v>196</v>
      </c>
      <c r="C71" t="s">
        <v>195</v>
      </c>
      <c r="D71" t="s">
        <v>1771</v>
      </c>
      <c r="E71" t="s">
        <v>169</v>
      </c>
      <c r="F71">
        <v>5</v>
      </c>
      <c r="G71">
        <v>40</v>
      </c>
      <c r="H71">
        <f t="shared" ref="H71:H72" si="4">F71*G71</f>
        <v>200</v>
      </c>
    </row>
    <row r="72" spans="1:8" x14ac:dyDescent="0.25">
      <c r="A72">
        <v>70722</v>
      </c>
      <c r="B72" t="s">
        <v>196</v>
      </c>
      <c r="C72" t="s">
        <v>195</v>
      </c>
      <c r="D72" t="s">
        <v>1771</v>
      </c>
      <c r="E72" t="s">
        <v>181</v>
      </c>
      <c r="F72">
        <v>5</v>
      </c>
      <c r="G72">
        <v>40</v>
      </c>
      <c r="H72">
        <f t="shared" si="4"/>
        <v>200</v>
      </c>
    </row>
    <row r="73" spans="1:8" x14ac:dyDescent="0.25">
      <c r="A73">
        <v>70722</v>
      </c>
      <c r="B73" t="s">
        <v>196</v>
      </c>
      <c r="C73" t="s">
        <v>195</v>
      </c>
      <c r="D73" t="s">
        <v>1771</v>
      </c>
      <c r="E73" t="s">
        <v>193</v>
      </c>
      <c r="F73">
        <v>5</v>
      </c>
      <c r="G73">
        <v>40</v>
      </c>
      <c r="H73">
        <f t="shared" ref="H73:H74" si="5">F73*G73</f>
        <v>200</v>
      </c>
    </row>
    <row r="74" spans="1:8" x14ac:dyDescent="0.25">
      <c r="A74">
        <v>70722</v>
      </c>
      <c r="B74" t="s">
        <v>196</v>
      </c>
      <c r="C74" t="s">
        <v>195</v>
      </c>
      <c r="D74" t="s">
        <v>1766</v>
      </c>
      <c r="E74" t="s">
        <v>140</v>
      </c>
      <c r="F74">
        <v>12</v>
      </c>
      <c r="G74">
        <v>6</v>
      </c>
      <c r="H74">
        <f t="shared" si="5"/>
        <v>72</v>
      </c>
    </row>
    <row r="75" spans="1:8" x14ac:dyDescent="0.25">
      <c r="A75">
        <v>70722</v>
      </c>
      <c r="B75" t="s">
        <v>196</v>
      </c>
      <c r="C75" t="s">
        <v>195</v>
      </c>
      <c r="D75" t="s">
        <v>1766</v>
      </c>
      <c r="E75" t="s">
        <v>135</v>
      </c>
      <c r="F75">
        <v>12</v>
      </c>
      <c r="G75">
        <v>6</v>
      </c>
      <c r="H75">
        <f t="shared" ref="H75:H80" si="6">F75*G75</f>
        <v>72</v>
      </c>
    </row>
    <row r="76" spans="1:8" x14ac:dyDescent="0.25">
      <c r="A76">
        <v>70722</v>
      </c>
      <c r="B76" t="s">
        <v>196</v>
      </c>
      <c r="C76" t="s">
        <v>195</v>
      </c>
      <c r="D76" t="s">
        <v>1766</v>
      </c>
      <c r="E76" t="s">
        <v>145</v>
      </c>
      <c r="F76">
        <v>12</v>
      </c>
      <c r="G76">
        <v>6</v>
      </c>
      <c r="H76">
        <f t="shared" si="6"/>
        <v>72</v>
      </c>
    </row>
    <row r="77" spans="1:8" x14ac:dyDescent="0.25">
      <c r="A77">
        <v>70722</v>
      </c>
      <c r="B77" t="s">
        <v>196</v>
      </c>
      <c r="C77" t="s">
        <v>195</v>
      </c>
      <c r="D77" t="s">
        <v>1766</v>
      </c>
      <c r="E77" t="s">
        <v>141</v>
      </c>
      <c r="F77">
        <v>18</v>
      </c>
      <c r="G77">
        <v>6</v>
      </c>
      <c r="H77">
        <f t="shared" si="6"/>
        <v>108</v>
      </c>
    </row>
    <row r="78" spans="1:8" x14ac:dyDescent="0.25">
      <c r="A78">
        <v>70722</v>
      </c>
      <c r="B78" t="s">
        <v>196</v>
      </c>
      <c r="C78" t="s">
        <v>195</v>
      </c>
      <c r="D78" t="s">
        <v>1766</v>
      </c>
      <c r="E78" t="s">
        <v>150</v>
      </c>
      <c r="F78">
        <v>12</v>
      </c>
      <c r="G78">
        <v>6</v>
      </c>
      <c r="H78">
        <f t="shared" si="6"/>
        <v>72</v>
      </c>
    </row>
    <row r="79" spans="1:8" x14ac:dyDescent="0.25">
      <c r="A79">
        <v>70722</v>
      </c>
      <c r="B79" t="s">
        <v>196</v>
      </c>
      <c r="C79" t="s">
        <v>195</v>
      </c>
      <c r="D79" t="s">
        <v>1766</v>
      </c>
      <c r="E79" t="s">
        <v>147</v>
      </c>
      <c r="F79">
        <v>10</v>
      </c>
      <c r="G79">
        <v>6</v>
      </c>
      <c r="H79">
        <f t="shared" si="6"/>
        <v>60</v>
      </c>
    </row>
    <row r="80" spans="1:8" x14ac:dyDescent="0.25">
      <c r="A80">
        <v>70722</v>
      </c>
      <c r="B80" t="s">
        <v>196</v>
      </c>
      <c r="C80" t="s">
        <v>195</v>
      </c>
      <c r="D80" t="s">
        <v>1766</v>
      </c>
      <c r="E80" t="s">
        <v>153</v>
      </c>
      <c r="F80">
        <v>20</v>
      </c>
      <c r="G80">
        <v>6</v>
      </c>
      <c r="H80">
        <f t="shared" si="6"/>
        <v>120</v>
      </c>
    </row>
    <row r="81" spans="1:8" x14ac:dyDescent="0.25">
      <c r="A81">
        <v>72060</v>
      </c>
      <c r="B81" t="s">
        <v>196</v>
      </c>
      <c r="C81" t="s">
        <v>195</v>
      </c>
      <c r="D81" t="s">
        <v>1771</v>
      </c>
      <c r="E81" t="s">
        <v>194</v>
      </c>
      <c r="F81">
        <v>5</v>
      </c>
      <c r="G81">
        <v>40</v>
      </c>
      <c r="H81">
        <f t="shared" ref="H81:H83" si="7">F81*G81</f>
        <v>200</v>
      </c>
    </row>
    <row r="82" spans="1:8" x14ac:dyDescent="0.25">
      <c r="A82">
        <v>76346</v>
      </c>
      <c r="B82" t="s">
        <v>196</v>
      </c>
      <c r="C82" t="s">
        <v>195</v>
      </c>
      <c r="D82" t="s">
        <v>1771</v>
      </c>
      <c r="E82" t="s">
        <v>194</v>
      </c>
      <c r="F82">
        <v>5</v>
      </c>
      <c r="G82">
        <v>40</v>
      </c>
      <c r="H82">
        <f t="shared" si="7"/>
        <v>200</v>
      </c>
    </row>
    <row r="83" spans="1:8" x14ac:dyDescent="0.25">
      <c r="A83">
        <v>64418</v>
      </c>
      <c r="B83" t="s">
        <v>53</v>
      </c>
      <c r="C83" t="s">
        <v>52</v>
      </c>
      <c r="D83" t="s">
        <v>1766</v>
      </c>
      <c r="E83" t="s">
        <v>2534</v>
      </c>
      <c r="F83">
        <v>15</v>
      </c>
      <c r="G83">
        <v>6</v>
      </c>
      <c r="H83">
        <f t="shared" si="7"/>
        <v>90</v>
      </c>
    </row>
    <row r="84" spans="1:8" x14ac:dyDescent="0.25">
      <c r="A84">
        <v>64418</v>
      </c>
      <c r="B84" t="s">
        <v>53</v>
      </c>
      <c r="C84" t="s">
        <v>52</v>
      </c>
      <c r="D84" t="s">
        <v>1766</v>
      </c>
      <c r="E84" t="s">
        <v>2535</v>
      </c>
      <c r="F84">
        <v>8</v>
      </c>
      <c r="G84">
        <v>6</v>
      </c>
      <c r="H84">
        <f t="shared" ref="H84:H92" si="8">F84*G84</f>
        <v>48</v>
      </c>
    </row>
    <row r="85" spans="1:8" x14ac:dyDescent="0.25">
      <c r="A85">
        <v>64418</v>
      </c>
      <c r="B85" t="s">
        <v>53</v>
      </c>
      <c r="C85" t="s">
        <v>52</v>
      </c>
      <c r="D85" t="s">
        <v>1766</v>
      </c>
      <c r="E85" t="s">
        <v>2536</v>
      </c>
      <c r="F85">
        <v>8</v>
      </c>
      <c r="G85">
        <v>6</v>
      </c>
      <c r="H85">
        <f t="shared" si="8"/>
        <v>48</v>
      </c>
    </row>
    <row r="86" spans="1:8" x14ac:dyDescent="0.25">
      <c r="A86">
        <v>64418</v>
      </c>
      <c r="B86" t="s">
        <v>53</v>
      </c>
      <c r="C86" t="s">
        <v>52</v>
      </c>
      <c r="D86" t="s">
        <v>1766</v>
      </c>
      <c r="E86" t="s">
        <v>2537</v>
      </c>
      <c r="F86">
        <v>8</v>
      </c>
      <c r="G86">
        <v>6</v>
      </c>
      <c r="H86">
        <f t="shared" si="8"/>
        <v>48</v>
      </c>
    </row>
    <row r="87" spans="1:8" x14ac:dyDescent="0.25">
      <c r="A87">
        <v>64418</v>
      </c>
      <c r="B87" t="s">
        <v>53</v>
      </c>
      <c r="C87" t="s">
        <v>52</v>
      </c>
      <c r="D87" t="s">
        <v>1766</v>
      </c>
      <c r="E87" t="s">
        <v>2538</v>
      </c>
      <c r="F87">
        <v>8</v>
      </c>
      <c r="G87">
        <v>6</v>
      </c>
      <c r="H87">
        <f t="shared" si="8"/>
        <v>48</v>
      </c>
    </row>
    <row r="88" spans="1:8" x14ac:dyDescent="0.25">
      <c r="A88">
        <v>64418</v>
      </c>
      <c r="B88" t="s">
        <v>53</v>
      </c>
      <c r="C88" t="s">
        <v>52</v>
      </c>
      <c r="D88" t="s">
        <v>1766</v>
      </c>
      <c r="E88" t="s">
        <v>2539</v>
      </c>
      <c r="F88">
        <v>10</v>
      </c>
      <c r="G88">
        <v>6</v>
      </c>
      <c r="H88">
        <f t="shared" si="8"/>
        <v>60</v>
      </c>
    </row>
    <row r="89" spans="1:8" x14ac:dyDescent="0.25">
      <c r="A89">
        <v>64418</v>
      </c>
      <c r="B89" t="s">
        <v>53</v>
      </c>
      <c r="C89" t="s">
        <v>52</v>
      </c>
      <c r="D89" t="s">
        <v>1766</v>
      </c>
      <c r="E89" t="s">
        <v>2540</v>
      </c>
      <c r="F89">
        <v>10</v>
      </c>
      <c r="G89">
        <v>6</v>
      </c>
      <c r="H89">
        <f t="shared" si="8"/>
        <v>60</v>
      </c>
    </row>
    <row r="90" spans="1:8" x14ac:dyDescent="0.25">
      <c r="A90">
        <v>64418</v>
      </c>
      <c r="B90" t="s">
        <v>53</v>
      </c>
      <c r="C90" t="s">
        <v>52</v>
      </c>
      <c r="D90" t="s">
        <v>1766</v>
      </c>
      <c r="E90" t="s">
        <v>2541</v>
      </c>
      <c r="F90">
        <v>10</v>
      </c>
      <c r="G90">
        <v>6</v>
      </c>
      <c r="H90">
        <f t="shared" si="8"/>
        <v>60</v>
      </c>
    </row>
    <row r="91" spans="1:8" x14ac:dyDescent="0.25">
      <c r="A91">
        <v>64418</v>
      </c>
      <c r="B91" t="s">
        <v>53</v>
      </c>
      <c r="C91" t="s">
        <v>52</v>
      </c>
      <c r="D91" t="s">
        <v>1766</v>
      </c>
      <c r="E91" t="s">
        <v>2542</v>
      </c>
      <c r="F91">
        <v>8</v>
      </c>
      <c r="G91">
        <v>6</v>
      </c>
      <c r="H91">
        <f t="shared" si="8"/>
        <v>48</v>
      </c>
    </row>
    <row r="92" spans="1:8" x14ac:dyDescent="0.25">
      <c r="A92">
        <v>64418</v>
      </c>
      <c r="B92" t="s">
        <v>53</v>
      </c>
      <c r="C92" t="s">
        <v>52</v>
      </c>
      <c r="D92" t="s">
        <v>1766</v>
      </c>
      <c r="E92" t="s">
        <v>2543</v>
      </c>
      <c r="F92">
        <v>15</v>
      </c>
      <c r="G92">
        <v>6</v>
      </c>
      <c r="H92">
        <f t="shared" si="8"/>
        <v>90</v>
      </c>
    </row>
    <row r="93" spans="1:8" x14ac:dyDescent="0.25">
      <c r="A93">
        <v>64443</v>
      </c>
      <c r="B93" t="s">
        <v>53</v>
      </c>
      <c r="C93" t="s">
        <v>52</v>
      </c>
      <c r="D93" t="s">
        <v>1766</v>
      </c>
      <c r="E93" t="s">
        <v>2544</v>
      </c>
      <c r="F93">
        <v>8</v>
      </c>
      <c r="G93">
        <v>6</v>
      </c>
      <c r="H93">
        <f t="shared" ref="H93:H100" si="9">F93*G93</f>
        <v>48</v>
      </c>
    </row>
    <row r="94" spans="1:8" x14ac:dyDescent="0.25">
      <c r="A94">
        <v>64443</v>
      </c>
      <c r="B94" t="s">
        <v>53</v>
      </c>
      <c r="C94" t="s">
        <v>52</v>
      </c>
      <c r="D94" t="s">
        <v>1766</v>
      </c>
      <c r="E94" t="s">
        <v>2549</v>
      </c>
      <c r="F94">
        <v>12</v>
      </c>
      <c r="G94">
        <v>6</v>
      </c>
      <c r="H94">
        <f t="shared" si="9"/>
        <v>72</v>
      </c>
    </row>
    <row r="95" spans="1:8" x14ac:dyDescent="0.25">
      <c r="A95">
        <v>64443</v>
      </c>
      <c r="B95" t="s">
        <v>53</v>
      </c>
      <c r="C95" t="s">
        <v>52</v>
      </c>
      <c r="D95" t="s">
        <v>1766</v>
      </c>
      <c r="E95" t="s">
        <v>2545</v>
      </c>
      <c r="F95">
        <v>8</v>
      </c>
      <c r="G95">
        <v>6</v>
      </c>
      <c r="H95">
        <f t="shared" si="9"/>
        <v>48</v>
      </c>
    </row>
    <row r="96" spans="1:8" x14ac:dyDescent="0.25">
      <c r="A96">
        <v>64443</v>
      </c>
      <c r="B96" t="s">
        <v>53</v>
      </c>
      <c r="C96" t="s">
        <v>52</v>
      </c>
      <c r="D96" t="s">
        <v>1766</v>
      </c>
      <c r="E96" t="s">
        <v>2546</v>
      </c>
      <c r="F96">
        <v>12</v>
      </c>
      <c r="G96">
        <v>6</v>
      </c>
      <c r="H96">
        <f t="shared" si="9"/>
        <v>72</v>
      </c>
    </row>
    <row r="97" spans="1:8" x14ac:dyDescent="0.25">
      <c r="A97">
        <v>64443</v>
      </c>
      <c r="B97" t="s">
        <v>53</v>
      </c>
      <c r="C97" t="s">
        <v>52</v>
      </c>
      <c r="D97" t="s">
        <v>1766</v>
      </c>
      <c r="E97" t="s">
        <v>2547</v>
      </c>
      <c r="F97">
        <v>24</v>
      </c>
      <c r="G97">
        <v>6</v>
      </c>
      <c r="H97">
        <f t="shared" si="9"/>
        <v>144</v>
      </c>
    </row>
    <row r="98" spans="1:8" x14ac:dyDescent="0.25">
      <c r="A98">
        <v>64443</v>
      </c>
      <c r="B98" t="s">
        <v>53</v>
      </c>
      <c r="C98" t="s">
        <v>52</v>
      </c>
      <c r="D98" t="s">
        <v>1766</v>
      </c>
      <c r="E98" t="s">
        <v>2548</v>
      </c>
      <c r="F98">
        <v>27</v>
      </c>
      <c r="G98">
        <v>6</v>
      </c>
      <c r="H98">
        <f t="shared" si="9"/>
        <v>162</v>
      </c>
    </row>
    <row r="99" spans="1:8" x14ac:dyDescent="0.25">
      <c r="A99">
        <v>66026</v>
      </c>
      <c r="B99" t="s">
        <v>53</v>
      </c>
      <c r="C99" t="s">
        <v>52</v>
      </c>
      <c r="D99" t="s">
        <v>1771</v>
      </c>
      <c r="E99" t="s">
        <v>16</v>
      </c>
      <c r="F99">
        <v>6</v>
      </c>
      <c r="G99">
        <v>40</v>
      </c>
      <c r="H99">
        <f t="shared" si="9"/>
        <v>240</v>
      </c>
    </row>
    <row r="100" spans="1:8" x14ac:dyDescent="0.25">
      <c r="A100">
        <v>63870</v>
      </c>
      <c r="B100" t="s">
        <v>53</v>
      </c>
      <c r="C100" t="s">
        <v>52</v>
      </c>
      <c r="D100" t="s">
        <v>1766</v>
      </c>
      <c r="E100" t="s">
        <v>2550</v>
      </c>
      <c r="F100">
        <v>12</v>
      </c>
      <c r="G100">
        <v>6</v>
      </c>
      <c r="H100">
        <f t="shared" si="9"/>
        <v>72</v>
      </c>
    </row>
    <row r="101" spans="1:8" x14ac:dyDescent="0.25">
      <c r="A101">
        <v>63870</v>
      </c>
      <c r="B101" t="s">
        <v>53</v>
      </c>
      <c r="C101" t="s">
        <v>52</v>
      </c>
      <c r="D101" t="s">
        <v>1766</v>
      </c>
      <c r="E101" t="s">
        <v>2551</v>
      </c>
      <c r="F101">
        <v>12</v>
      </c>
      <c r="G101">
        <v>6</v>
      </c>
      <c r="H101">
        <f t="shared" ref="H101:H153" si="10">F101*G101</f>
        <v>72</v>
      </c>
    </row>
    <row r="102" spans="1:8" x14ac:dyDescent="0.25">
      <c r="A102">
        <v>63982</v>
      </c>
      <c r="B102" t="s">
        <v>53</v>
      </c>
      <c r="C102" t="s">
        <v>52</v>
      </c>
      <c r="D102" t="s">
        <v>1771</v>
      </c>
      <c r="E102" t="s">
        <v>2552</v>
      </c>
      <c r="F102">
        <v>3</v>
      </c>
      <c r="G102">
        <v>40</v>
      </c>
      <c r="H102">
        <f t="shared" si="10"/>
        <v>120</v>
      </c>
    </row>
    <row r="103" spans="1:8" x14ac:dyDescent="0.25">
      <c r="A103">
        <v>63982</v>
      </c>
      <c r="B103" t="s">
        <v>53</v>
      </c>
      <c r="C103" t="s">
        <v>52</v>
      </c>
      <c r="D103" t="s">
        <v>1771</v>
      </c>
      <c r="E103" t="s">
        <v>13</v>
      </c>
      <c r="F103">
        <v>6</v>
      </c>
      <c r="G103">
        <v>40</v>
      </c>
      <c r="H103">
        <f t="shared" si="10"/>
        <v>240</v>
      </c>
    </row>
    <row r="104" spans="1:8" x14ac:dyDescent="0.25">
      <c r="A104">
        <v>63882</v>
      </c>
      <c r="B104" t="s">
        <v>53</v>
      </c>
      <c r="C104" t="s">
        <v>52</v>
      </c>
      <c r="D104" t="s">
        <v>1771</v>
      </c>
      <c r="F104">
        <v>9</v>
      </c>
      <c r="G104">
        <v>40</v>
      </c>
      <c r="H104">
        <f t="shared" si="10"/>
        <v>360</v>
      </c>
    </row>
    <row r="105" spans="1:8" x14ac:dyDescent="0.25">
      <c r="A105">
        <v>65764</v>
      </c>
      <c r="B105" t="s">
        <v>1730</v>
      </c>
      <c r="C105" t="s">
        <v>1630</v>
      </c>
      <c r="D105" t="s">
        <v>61</v>
      </c>
      <c r="E105" t="s">
        <v>1803</v>
      </c>
      <c r="F105">
        <v>12</v>
      </c>
      <c r="G105">
        <v>6</v>
      </c>
      <c r="H105">
        <f t="shared" si="10"/>
        <v>72</v>
      </c>
    </row>
    <row r="106" spans="1:8" x14ac:dyDescent="0.25">
      <c r="A106">
        <v>65764</v>
      </c>
      <c r="B106" t="s">
        <v>1730</v>
      </c>
      <c r="C106" t="s">
        <v>1630</v>
      </c>
      <c r="D106" t="s">
        <v>466</v>
      </c>
      <c r="E106" t="s">
        <v>1803</v>
      </c>
      <c r="F106">
        <v>48</v>
      </c>
      <c r="G106">
        <v>16</v>
      </c>
      <c r="H106">
        <f t="shared" si="10"/>
        <v>768</v>
      </c>
    </row>
    <row r="107" spans="1:8" x14ac:dyDescent="0.25">
      <c r="A107">
        <v>65764</v>
      </c>
      <c r="B107" t="s">
        <v>1730</v>
      </c>
      <c r="C107" t="s">
        <v>1630</v>
      </c>
      <c r="D107" t="s">
        <v>467</v>
      </c>
      <c r="E107" t="s">
        <v>1803</v>
      </c>
      <c r="F107">
        <v>47</v>
      </c>
      <c r="G107">
        <v>26</v>
      </c>
      <c r="H107">
        <f t="shared" si="10"/>
        <v>1222</v>
      </c>
    </row>
    <row r="108" spans="1:8" x14ac:dyDescent="0.25">
      <c r="A108">
        <v>73599</v>
      </c>
      <c r="B108" t="s">
        <v>1730</v>
      </c>
      <c r="C108" t="s">
        <v>1630</v>
      </c>
      <c r="D108" t="s">
        <v>1766</v>
      </c>
      <c r="E108" t="s">
        <v>1816</v>
      </c>
      <c r="F108">
        <v>6</v>
      </c>
      <c r="G108">
        <v>6</v>
      </c>
      <c r="H108">
        <f t="shared" si="10"/>
        <v>36</v>
      </c>
    </row>
    <row r="109" spans="1:8" x14ac:dyDescent="0.25">
      <c r="A109">
        <v>73599</v>
      </c>
      <c r="B109" t="s">
        <v>1730</v>
      </c>
      <c r="C109" t="s">
        <v>1630</v>
      </c>
      <c r="D109" t="s">
        <v>1766</v>
      </c>
      <c r="E109" t="s">
        <v>1818</v>
      </c>
      <c r="F109">
        <v>18</v>
      </c>
      <c r="G109">
        <v>6</v>
      </c>
      <c r="H109">
        <f t="shared" si="10"/>
        <v>108</v>
      </c>
    </row>
    <row r="110" spans="1:8" x14ac:dyDescent="0.25">
      <c r="A110">
        <v>73599</v>
      </c>
      <c r="B110" t="s">
        <v>1730</v>
      </c>
      <c r="C110" t="s">
        <v>1630</v>
      </c>
      <c r="D110" t="s">
        <v>1766</v>
      </c>
      <c r="E110" t="s">
        <v>1820</v>
      </c>
      <c r="F110">
        <v>9</v>
      </c>
      <c r="G110">
        <v>6</v>
      </c>
      <c r="H110">
        <f t="shared" si="10"/>
        <v>54</v>
      </c>
    </row>
    <row r="111" spans="1:8" x14ac:dyDescent="0.25">
      <c r="A111">
        <v>73599</v>
      </c>
      <c r="B111" t="s">
        <v>1730</v>
      </c>
      <c r="C111" t="s">
        <v>1630</v>
      </c>
      <c r="D111" t="s">
        <v>1766</v>
      </c>
      <c r="E111" t="s">
        <v>1822</v>
      </c>
      <c r="F111">
        <v>9</v>
      </c>
      <c r="G111">
        <v>6</v>
      </c>
      <c r="H111">
        <f t="shared" si="10"/>
        <v>54</v>
      </c>
    </row>
    <row r="112" spans="1:8" x14ac:dyDescent="0.25">
      <c r="A112">
        <v>73599</v>
      </c>
      <c r="B112" t="s">
        <v>1730</v>
      </c>
      <c r="C112" t="s">
        <v>1630</v>
      </c>
      <c r="D112" t="s">
        <v>1766</v>
      </c>
      <c r="E112" t="s">
        <v>1824</v>
      </c>
      <c r="F112">
        <v>9</v>
      </c>
      <c r="G112">
        <v>6</v>
      </c>
      <c r="H112">
        <f t="shared" si="10"/>
        <v>54</v>
      </c>
    </row>
    <row r="113" spans="1:8" x14ac:dyDescent="0.25">
      <c r="A113">
        <v>75271</v>
      </c>
      <c r="B113" t="s">
        <v>1730</v>
      </c>
      <c r="C113" t="s">
        <v>1630</v>
      </c>
      <c r="D113" t="s">
        <v>1771</v>
      </c>
      <c r="E113" t="s">
        <v>1854</v>
      </c>
      <c r="F113">
        <v>5</v>
      </c>
      <c r="G113">
        <v>50</v>
      </c>
      <c r="H113">
        <f t="shared" si="10"/>
        <v>250</v>
      </c>
    </row>
    <row r="114" spans="1:8" x14ac:dyDescent="0.25">
      <c r="A114">
        <v>75271</v>
      </c>
      <c r="B114" t="s">
        <v>1730</v>
      </c>
      <c r="C114" t="s">
        <v>1630</v>
      </c>
      <c r="D114" t="s">
        <v>1771</v>
      </c>
      <c r="E114" t="s">
        <v>1855</v>
      </c>
      <c r="F114">
        <v>5</v>
      </c>
      <c r="G114">
        <v>50</v>
      </c>
      <c r="H114">
        <f t="shared" si="10"/>
        <v>250</v>
      </c>
    </row>
    <row r="115" spans="1:8" x14ac:dyDescent="0.25">
      <c r="A115">
        <v>75481</v>
      </c>
      <c r="B115" t="s">
        <v>1730</v>
      </c>
      <c r="C115" t="s">
        <v>1630</v>
      </c>
      <c r="D115" t="s">
        <v>1766</v>
      </c>
      <c r="E115" t="s">
        <v>1856</v>
      </c>
      <c r="F115">
        <v>12</v>
      </c>
      <c r="G115">
        <v>6</v>
      </c>
      <c r="H115">
        <f t="shared" si="10"/>
        <v>72</v>
      </c>
    </row>
    <row r="116" spans="1:8" x14ac:dyDescent="0.25">
      <c r="A116">
        <v>75481</v>
      </c>
      <c r="B116" t="s">
        <v>1730</v>
      </c>
      <c r="C116" t="s">
        <v>1630</v>
      </c>
      <c r="D116" t="s">
        <v>1766</v>
      </c>
      <c r="E116" t="s">
        <v>1798</v>
      </c>
      <c r="F116">
        <v>6</v>
      </c>
      <c r="G116">
        <v>6</v>
      </c>
      <c r="H116">
        <f t="shared" si="10"/>
        <v>36</v>
      </c>
    </row>
    <row r="117" spans="1:8" x14ac:dyDescent="0.25">
      <c r="A117">
        <v>75481</v>
      </c>
      <c r="B117" t="s">
        <v>1730</v>
      </c>
      <c r="C117" t="s">
        <v>1630</v>
      </c>
      <c r="D117" t="s">
        <v>1766</v>
      </c>
      <c r="E117" t="s">
        <v>1797</v>
      </c>
      <c r="F117">
        <v>14</v>
      </c>
      <c r="G117">
        <v>6</v>
      </c>
      <c r="H117">
        <f t="shared" si="10"/>
        <v>84</v>
      </c>
    </row>
    <row r="118" spans="1:8" x14ac:dyDescent="0.25">
      <c r="A118">
        <v>75481</v>
      </c>
      <c r="B118" t="s">
        <v>1730</v>
      </c>
      <c r="C118" t="s">
        <v>1630</v>
      </c>
      <c r="D118" t="s">
        <v>1766</v>
      </c>
      <c r="E118" t="s">
        <v>1799</v>
      </c>
      <c r="F118">
        <v>8</v>
      </c>
      <c r="G118">
        <v>6</v>
      </c>
      <c r="H118">
        <f t="shared" si="10"/>
        <v>48</v>
      </c>
    </row>
    <row r="119" spans="1:8" x14ac:dyDescent="0.25">
      <c r="A119">
        <v>75481</v>
      </c>
      <c r="B119" t="s">
        <v>1730</v>
      </c>
      <c r="C119" t="s">
        <v>1630</v>
      </c>
      <c r="D119" t="s">
        <v>1766</v>
      </c>
      <c r="E119" t="s">
        <v>1800</v>
      </c>
      <c r="F119">
        <v>12</v>
      </c>
      <c r="G119">
        <v>6</v>
      </c>
      <c r="H119">
        <f t="shared" si="10"/>
        <v>72</v>
      </c>
    </row>
    <row r="120" spans="1:8" x14ac:dyDescent="0.25">
      <c r="A120">
        <v>75481</v>
      </c>
      <c r="B120" t="s">
        <v>1730</v>
      </c>
      <c r="C120" t="s">
        <v>1630</v>
      </c>
      <c r="D120" t="s">
        <v>1766</v>
      </c>
      <c r="E120" t="s">
        <v>1801</v>
      </c>
      <c r="F120">
        <v>14</v>
      </c>
      <c r="G120">
        <v>6</v>
      </c>
      <c r="H120">
        <f t="shared" si="10"/>
        <v>84</v>
      </c>
    </row>
    <row r="121" spans="1:8" x14ac:dyDescent="0.25">
      <c r="A121">
        <v>75481</v>
      </c>
      <c r="B121" t="s">
        <v>1730</v>
      </c>
      <c r="C121" t="s">
        <v>1630</v>
      </c>
      <c r="D121" t="s">
        <v>1766</v>
      </c>
      <c r="E121" t="s">
        <v>1802</v>
      </c>
      <c r="F121">
        <v>12</v>
      </c>
      <c r="G121">
        <v>6</v>
      </c>
      <c r="H121">
        <f t="shared" si="10"/>
        <v>72</v>
      </c>
    </row>
    <row r="122" spans="1:8" x14ac:dyDescent="0.25">
      <c r="A122">
        <v>74135</v>
      </c>
      <c r="B122" t="s">
        <v>1730</v>
      </c>
      <c r="C122" t="s">
        <v>1630</v>
      </c>
      <c r="D122" t="s">
        <v>1766</v>
      </c>
      <c r="E122" t="s">
        <v>1826</v>
      </c>
      <c r="F122">
        <v>9</v>
      </c>
      <c r="G122">
        <v>6</v>
      </c>
      <c r="H122">
        <f t="shared" si="10"/>
        <v>54</v>
      </c>
    </row>
    <row r="123" spans="1:8" x14ac:dyDescent="0.25">
      <c r="A123">
        <v>74135</v>
      </c>
      <c r="B123" t="s">
        <v>1730</v>
      </c>
      <c r="C123" t="s">
        <v>1630</v>
      </c>
      <c r="D123" t="s">
        <v>1766</v>
      </c>
      <c r="E123" t="s">
        <v>1828</v>
      </c>
      <c r="F123">
        <v>9</v>
      </c>
      <c r="G123">
        <v>6</v>
      </c>
      <c r="H123">
        <f t="shared" si="10"/>
        <v>54</v>
      </c>
    </row>
    <row r="124" spans="1:8" x14ac:dyDescent="0.25">
      <c r="A124">
        <v>74135</v>
      </c>
      <c r="B124" t="s">
        <v>1730</v>
      </c>
      <c r="C124" t="s">
        <v>1630</v>
      </c>
      <c r="D124" t="s">
        <v>1766</v>
      </c>
      <c r="E124" t="s">
        <v>1829</v>
      </c>
      <c r="F124">
        <v>9</v>
      </c>
      <c r="G124">
        <v>6</v>
      </c>
      <c r="H124">
        <f t="shared" si="10"/>
        <v>54</v>
      </c>
    </row>
    <row r="125" spans="1:8" x14ac:dyDescent="0.25">
      <c r="A125">
        <v>74135</v>
      </c>
      <c r="B125" t="s">
        <v>1730</v>
      </c>
      <c r="C125" t="s">
        <v>1630</v>
      </c>
      <c r="D125" t="s">
        <v>1766</v>
      </c>
      <c r="E125" t="s">
        <v>1831</v>
      </c>
      <c r="F125">
        <v>9</v>
      </c>
      <c r="G125">
        <v>6</v>
      </c>
      <c r="H125">
        <f t="shared" si="10"/>
        <v>54</v>
      </c>
    </row>
    <row r="126" spans="1:8" x14ac:dyDescent="0.25">
      <c r="A126">
        <v>74135</v>
      </c>
      <c r="B126" t="s">
        <v>1730</v>
      </c>
      <c r="C126" t="s">
        <v>1630</v>
      </c>
      <c r="D126" t="s">
        <v>1766</v>
      </c>
      <c r="E126" t="s">
        <v>1833</v>
      </c>
      <c r="F126">
        <v>9</v>
      </c>
      <c r="G126">
        <v>6</v>
      </c>
      <c r="H126">
        <f t="shared" si="10"/>
        <v>54</v>
      </c>
    </row>
    <row r="127" spans="1:8" x14ac:dyDescent="0.25">
      <c r="A127">
        <v>74135</v>
      </c>
      <c r="B127" t="s">
        <v>1730</v>
      </c>
      <c r="C127" t="s">
        <v>1630</v>
      </c>
      <c r="D127" t="s">
        <v>1766</v>
      </c>
      <c r="E127" t="s">
        <v>1835</v>
      </c>
      <c r="F127">
        <v>9</v>
      </c>
      <c r="G127">
        <v>6</v>
      </c>
      <c r="H127">
        <f t="shared" si="10"/>
        <v>54</v>
      </c>
    </row>
    <row r="128" spans="1:8" x14ac:dyDescent="0.25">
      <c r="A128">
        <v>74135</v>
      </c>
      <c r="B128" t="s">
        <v>1730</v>
      </c>
      <c r="C128" t="s">
        <v>1630</v>
      </c>
      <c r="D128" t="s">
        <v>1766</v>
      </c>
      <c r="E128" t="s">
        <v>1837</v>
      </c>
      <c r="F128">
        <v>9</v>
      </c>
      <c r="G128">
        <v>6</v>
      </c>
      <c r="H128">
        <f t="shared" si="10"/>
        <v>54</v>
      </c>
    </row>
    <row r="129" spans="1:8" x14ac:dyDescent="0.25">
      <c r="A129">
        <v>74135</v>
      </c>
      <c r="B129" t="s">
        <v>1730</v>
      </c>
      <c r="C129" t="s">
        <v>1630</v>
      </c>
      <c r="D129" t="s">
        <v>1766</v>
      </c>
      <c r="E129" t="s">
        <v>1839</v>
      </c>
      <c r="F129">
        <v>9</v>
      </c>
      <c r="G129">
        <v>6</v>
      </c>
      <c r="H129">
        <f t="shared" si="10"/>
        <v>54</v>
      </c>
    </row>
    <row r="130" spans="1:8" x14ac:dyDescent="0.25">
      <c r="A130">
        <v>74135</v>
      </c>
      <c r="B130" t="s">
        <v>1730</v>
      </c>
      <c r="C130" t="s">
        <v>1630</v>
      </c>
      <c r="D130" t="s">
        <v>1766</v>
      </c>
      <c r="E130" t="s">
        <v>1841</v>
      </c>
      <c r="F130">
        <v>10</v>
      </c>
      <c r="G130">
        <v>6</v>
      </c>
      <c r="H130">
        <f t="shared" si="10"/>
        <v>60</v>
      </c>
    </row>
    <row r="131" spans="1:8" x14ac:dyDescent="0.25">
      <c r="A131">
        <v>74870</v>
      </c>
      <c r="B131" t="s">
        <v>1730</v>
      </c>
      <c r="C131" t="s">
        <v>1630</v>
      </c>
      <c r="D131" t="s">
        <v>1766</v>
      </c>
      <c r="E131" t="s">
        <v>1847</v>
      </c>
      <c r="F131">
        <v>9</v>
      </c>
      <c r="G131">
        <v>6</v>
      </c>
      <c r="H131">
        <f t="shared" si="10"/>
        <v>54</v>
      </c>
    </row>
    <row r="132" spans="1:8" x14ac:dyDescent="0.25">
      <c r="A132">
        <v>74870</v>
      </c>
      <c r="B132" t="s">
        <v>1730</v>
      </c>
      <c r="C132" t="s">
        <v>1630</v>
      </c>
      <c r="D132" t="s">
        <v>1766</v>
      </c>
      <c r="E132" t="s">
        <v>1849</v>
      </c>
      <c r="F132">
        <v>9</v>
      </c>
      <c r="G132">
        <v>6</v>
      </c>
      <c r="H132">
        <f t="shared" si="10"/>
        <v>54</v>
      </c>
    </row>
    <row r="133" spans="1:8" x14ac:dyDescent="0.25">
      <c r="A133">
        <v>66479</v>
      </c>
      <c r="B133" t="s">
        <v>275</v>
      </c>
      <c r="C133" t="s">
        <v>276</v>
      </c>
      <c r="D133" t="s">
        <v>1771</v>
      </c>
      <c r="E133" t="s">
        <v>251</v>
      </c>
      <c r="F133">
        <v>5</v>
      </c>
      <c r="G133">
        <v>40</v>
      </c>
      <c r="H133">
        <f t="shared" si="10"/>
        <v>200</v>
      </c>
    </row>
    <row r="134" spans="1:8" x14ac:dyDescent="0.25">
      <c r="A134">
        <v>66479</v>
      </c>
      <c r="B134" t="s">
        <v>275</v>
      </c>
      <c r="C134" t="s">
        <v>276</v>
      </c>
      <c r="D134" t="s">
        <v>1771</v>
      </c>
      <c r="E134" t="s">
        <v>2555</v>
      </c>
      <c r="F134">
        <v>5</v>
      </c>
      <c r="G134">
        <v>40</v>
      </c>
      <c r="H134">
        <f t="shared" si="10"/>
        <v>200</v>
      </c>
    </row>
    <row r="135" spans="1:8" x14ac:dyDescent="0.25">
      <c r="A135">
        <v>66479</v>
      </c>
      <c r="B135" t="s">
        <v>275</v>
      </c>
      <c r="C135" t="s">
        <v>276</v>
      </c>
      <c r="D135" t="s">
        <v>1771</v>
      </c>
      <c r="E135" t="s">
        <v>2556</v>
      </c>
      <c r="F135">
        <v>5</v>
      </c>
      <c r="G135">
        <v>40</v>
      </c>
      <c r="H135">
        <f t="shared" si="10"/>
        <v>200</v>
      </c>
    </row>
    <row r="136" spans="1:8" x14ac:dyDescent="0.25">
      <c r="A136">
        <v>70687</v>
      </c>
      <c r="B136" t="s">
        <v>275</v>
      </c>
      <c r="C136" t="s">
        <v>276</v>
      </c>
      <c r="D136" t="s">
        <v>1766</v>
      </c>
      <c r="E136" t="s">
        <v>2557</v>
      </c>
      <c r="F136">
        <v>12</v>
      </c>
      <c r="G136">
        <v>6</v>
      </c>
      <c r="H136">
        <f t="shared" si="10"/>
        <v>72</v>
      </c>
    </row>
    <row r="137" spans="1:8" x14ac:dyDescent="0.25">
      <c r="A137">
        <v>70687</v>
      </c>
      <c r="B137" t="s">
        <v>275</v>
      </c>
      <c r="C137" t="s">
        <v>276</v>
      </c>
      <c r="D137" t="s">
        <v>1766</v>
      </c>
      <c r="E137" t="s">
        <v>2558</v>
      </c>
      <c r="F137">
        <v>12</v>
      </c>
      <c r="G137">
        <v>6</v>
      </c>
      <c r="H137">
        <f t="shared" si="10"/>
        <v>72</v>
      </c>
    </row>
    <row r="138" spans="1:8" x14ac:dyDescent="0.25">
      <c r="A138">
        <v>70687</v>
      </c>
      <c r="B138" t="s">
        <v>275</v>
      </c>
      <c r="C138" t="s">
        <v>276</v>
      </c>
      <c r="D138" t="s">
        <v>1766</v>
      </c>
      <c r="E138" t="s">
        <v>2559</v>
      </c>
      <c r="F138">
        <v>14</v>
      </c>
      <c r="G138">
        <v>6</v>
      </c>
      <c r="H138">
        <f t="shared" si="10"/>
        <v>84</v>
      </c>
    </row>
    <row r="139" spans="1:8" x14ac:dyDescent="0.25">
      <c r="A139">
        <v>70687</v>
      </c>
      <c r="B139" t="s">
        <v>275</v>
      </c>
      <c r="C139" t="s">
        <v>276</v>
      </c>
      <c r="D139" t="s">
        <v>1766</v>
      </c>
      <c r="E139" t="s">
        <v>2560</v>
      </c>
      <c r="F139">
        <v>12</v>
      </c>
      <c r="G139">
        <v>6</v>
      </c>
      <c r="H139">
        <f t="shared" si="10"/>
        <v>72</v>
      </c>
    </row>
    <row r="140" spans="1:8" x14ac:dyDescent="0.25">
      <c r="A140">
        <v>75990</v>
      </c>
      <c r="B140" t="s">
        <v>275</v>
      </c>
      <c r="C140" t="s">
        <v>276</v>
      </c>
      <c r="D140" t="s">
        <v>1766</v>
      </c>
      <c r="E140" t="s">
        <v>261</v>
      </c>
      <c r="F140">
        <v>55</v>
      </c>
      <c r="G140">
        <v>6</v>
      </c>
      <c r="H140">
        <f t="shared" si="10"/>
        <v>330</v>
      </c>
    </row>
    <row r="141" spans="1:8" x14ac:dyDescent="0.25">
      <c r="A141">
        <v>75990</v>
      </c>
      <c r="B141" t="s">
        <v>275</v>
      </c>
      <c r="C141" t="s">
        <v>276</v>
      </c>
      <c r="D141" t="s">
        <v>1766</v>
      </c>
      <c r="E141" t="s">
        <v>259</v>
      </c>
      <c r="F141">
        <v>12</v>
      </c>
      <c r="G141">
        <v>6</v>
      </c>
      <c r="H141">
        <f t="shared" si="10"/>
        <v>72</v>
      </c>
    </row>
    <row r="142" spans="1:8" x14ac:dyDescent="0.25">
      <c r="A142">
        <v>75990</v>
      </c>
      <c r="B142" t="s">
        <v>275</v>
      </c>
      <c r="C142" t="s">
        <v>276</v>
      </c>
      <c r="D142" t="s">
        <v>1766</v>
      </c>
      <c r="E142" t="s">
        <v>260</v>
      </c>
      <c r="F142">
        <v>12</v>
      </c>
      <c r="G142">
        <v>6</v>
      </c>
      <c r="H142">
        <f t="shared" si="10"/>
        <v>72</v>
      </c>
    </row>
    <row r="143" spans="1:8" x14ac:dyDescent="0.25">
      <c r="A143">
        <v>75990</v>
      </c>
      <c r="B143" t="s">
        <v>275</v>
      </c>
      <c r="C143" t="s">
        <v>276</v>
      </c>
      <c r="D143" t="s">
        <v>1766</v>
      </c>
      <c r="E143" t="s">
        <v>262</v>
      </c>
      <c r="F143">
        <v>16</v>
      </c>
      <c r="G143">
        <v>6</v>
      </c>
      <c r="H143">
        <f t="shared" si="10"/>
        <v>96</v>
      </c>
    </row>
    <row r="144" spans="1:8" x14ac:dyDescent="0.25">
      <c r="A144">
        <v>75990</v>
      </c>
      <c r="B144" t="s">
        <v>275</v>
      </c>
      <c r="C144" t="s">
        <v>276</v>
      </c>
      <c r="D144" t="s">
        <v>1766</v>
      </c>
      <c r="E144" t="s">
        <v>263</v>
      </c>
      <c r="F144">
        <v>14</v>
      </c>
      <c r="G144">
        <v>6</v>
      </c>
      <c r="H144">
        <f t="shared" si="10"/>
        <v>84</v>
      </c>
    </row>
    <row r="145" spans="1:8" x14ac:dyDescent="0.25">
      <c r="A145">
        <v>75990</v>
      </c>
      <c r="B145" t="s">
        <v>275</v>
      </c>
      <c r="C145" t="s">
        <v>276</v>
      </c>
      <c r="D145" t="s">
        <v>1766</v>
      </c>
      <c r="E145" t="s">
        <v>265</v>
      </c>
      <c r="F145">
        <v>14</v>
      </c>
      <c r="G145">
        <v>6</v>
      </c>
      <c r="H145">
        <f t="shared" si="10"/>
        <v>84</v>
      </c>
    </row>
    <row r="146" spans="1:8" x14ac:dyDescent="0.25">
      <c r="A146">
        <v>75990</v>
      </c>
      <c r="B146" t="s">
        <v>275</v>
      </c>
      <c r="C146" t="s">
        <v>276</v>
      </c>
      <c r="D146" t="s">
        <v>1766</v>
      </c>
      <c r="E146" t="s">
        <v>267</v>
      </c>
      <c r="F146">
        <v>14</v>
      </c>
      <c r="G146">
        <v>6</v>
      </c>
      <c r="H146">
        <f t="shared" si="10"/>
        <v>84</v>
      </c>
    </row>
    <row r="147" spans="1:8" x14ac:dyDescent="0.25">
      <c r="A147">
        <v>75990</v>
      </c>
      <c r="B147" t="s">
        <v>275</v>
      </c>
      <c r="C147" t="s">
        <v>276</v>
      </c>
      <c r="D147" t="s">
        <v>1766</v>
      </c>
      <c r="E147" t="s">
        <v>2561</v>
      </c>
      <c r="F147">
        <v>14</v>
      </c>
      <c r="G147">
        <v>6</v>
      </c>
      <c r="H147">
        <f t="shared" si="10"/>
        <v>84</v>
      </c>
    </row>
    <row r="148" spans="1:8" x14ac:dyDescent="0.25">
      <c r="A148">
        <v>75990</v>
      </c>
      <c r="B148" t="s">
        <v>275</v>
      </c>
      <c r="C148" t="s">
        <v>276</v>
      </c>
      <c r="D148" t="s">
        <v>1771</v>
      </c>
      <c r="E148" t="s">
        <v>268</v>
      </c>
      <c r="F148">
        <v>5</v>
      </c>
      <c r="G148">
        <v>40</v>
      </c>
      <c r="H148">
        <f t="shared" si="10"/>
        <v>200</v>
      </c>
    </row>
    <row r="149" spans="1:8" x14ac:dyDescent="0.25">
      <c r="A149">
        <v>66829</v>
      </c>
      <c r="B149" t="s">
        <v>275</v>
      </c>
      <c r="C149" t="s">
        <v>276</v>
      </c>
      <c r="D149" t="s">
        <v>1766</v>
      </c>
      <c r="E149" t="s">
        <v>247</v>
      </c>
      <c r="F149">
        <v>12</v>
      </c>
      <c r="G149">
        <v>6</v>
      </c>
      <c r="H149">
        <f t="shared" si="10"/>
        <v>72</v>
      </c>
    </row>
    <row r="150" spans="1:8" x14ac:dyDescent="0.25">
      <c r="A150">
        <v>66829</v>
      </c>
      <c r="B150" t="s">
        <v>275</v>
      </c>
      <c r="C150" t="s">
        <v>276</v>
      </c>
      <c r="D150" t="s">
        <v>1766</v>
      </c>
      <c r="E150" t="s">
        <v>258</v>
      </c>
      <c r="F150">
        <v>20</v>
      </c>
      <c r="G150">
        <v>6</v>
      </c>
      <c r="H150">
        <f t="shared" si="10"/>
        <v>120</v>
      </c>
    </row>
    <row r="151" spans="1:8" x14ac:dyDescent="0.25">
      <c r="A151">
        <v>66829</v>
      </c>
      <c r="B151" t="s">
        <v>275</v>
      </c>
      <c r="C151" t="s">
        <v>276</v>
      </c>
      <c r="D151" t="s">
        <v>1766</v>
      </c>
      <c r="E151" t="s">
        <v>254</v>
      </c>
      <c r="F151">
        <v>8</v>
      </c>
      <c r="G151">
        <v>6</v>
      </c>
      <c r="H151">
        <f t="shared" si="10"/>
        <v>48</v>
      </c>
    </row>
    <row r="152" spans="1:8" x14ac:dyDescent="0.25">
      <c r="A152">
        <v>66829</v>
      </c>
      <c r="B152" t="s">
        <v>275</v>
      </c>
      <c r="C152" t="s">
        <v>276</v>
      </c>
      <c r="D152" t="s">
        <v>1766</v>
      </c>
      <c r="E152" t="s">
        <v>256</v>
      </c>
      <c r="F152">
        <v>12</v>
      </c>
      <c r="G152">
        <v>6</v>
      </c>
      <c r="H152">
        <f t="shared" si="10"/>
        <v>72</v>
      </c>
    </row>
    <row r="153" spans="1:8" x14ac:dyDescent="0.25">
      <c r="A153">
        <v>66829</v>
      </c>
      <c r="B153" t="s">
        <v>275</v>
      </c>
      <c r="C153" t="s">
        <v>276</v>
      </c>
      <c r="D153" t="s">
        <v>1766</v>
      </c>
      <c r="E153" t="s">
        <v>269</v>
      </c>
      <c r="F153">
        <v>12</v>
      </c>
      <c r="G153">
        <v>6</v>
      </c>
      <c r="H153">
        <f t="shared" si="10"/>
        <v>72</v>
      </c>
    </row>
  </sheetData>
  <phoneticPr fontId="3" type="noConversion"/>
  <dataValidations count="1">
    <dataValidation type="list" allowBlank="1" showInputMessage="1" showErrorMessage="1" sqref="D1:D1048576" xr:uid="{2E54F368-2FF7-4D55-8C66-B4A524115B67}">
      <formula1>ITEM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2337B51F-F9FB-4662-A1E3-737B647B78FC}">
  <ds:schemaRefs/>
</ds:datastoreItem>
</file>

<file path=customXml/itemProps2.xml><?xml version="1.0" encoding="utf-8"?>
<ds:datastoreItem xmlns:ds="http://schemas.openxmlformats.org/officeDocument/2006/customXml" ds:itemID="{5150C4D9-A6ED-49A1-8DD6-2A16CED340DA}">
  <ds:schemaRefs/>
</ds:datastoreItem>
</file>

<file path=customXml/itemProps3.xml><?xml version="1.0" encoding="utf-8"?>
<ds:datastoreItem xmlns:ds="http://schemas.openxmlformats.org/officeDocument/2006/customXml" ds:itemID="{D6197F58-2D95-413E-9D40-2EF9FB737607}">
  <ds:schemaRefs/>
</ds:datastoreItem>
</file>

<file path=customXml/itemProps4.xml><?xml version="1.0" encoding="utf-8"?>
<ds:datastoreItem xmlns:ds="http://schemas.openxmlformats.org/officeDocument/2006/customXml" ds:itemID="{061E4B5D-9EB4-438F-8FA8-C6DA6B042DA0}">
  <ds:schemaRefs/>
</ds:datastoreItem>
</file>

<file path=customXml/itemProps5.xml><?xml version="1.0" encoding="utf-8"?>
<ds:datastoreItem xmlns:ds="http://schemas.openxmlformats.org/officeDocument/2006/customXml" ds:itemID="{D4214FCB-E023-48B0-903B-6884F59B54FA}">
  <ds:schemaRefs/>
</ds:datastoreItem>
</file>

<file path=customXml/itemProps6.xml><?xml version="1.0" encoding="utf-8"?>
<ds:datastoreItem xmlns:ds="http://schemas.openxmlformats.org/officeDocument/2006/customXml" ds:itemID="{56401514-2668-4B26-AB72-0B37D8E01DC3}">
  <ds:schemaRefs/>
</ds:datastoreItem>
</file>

<file path=customXml/itemProps7.xml><?xml version="1.0" encoding="utf-8"?>
<ds:datastoreItem xmlns:ds="http://schemas.openxmlformats.org/officeDocument/2006/customXml" ds:itemID="{71A04BF2-5421-4567-ADE2-15FE5F0DA7B4}">
  <ds:schemaRefs/>
</ds:datastoreItem>
</file>

<file path=customXml/itemProps8.xml><?xml version="1.0" encoding="utf-8"?>
<ds:datastoreItem xmlns:ds="http://schemas.openxmlformats.org/officeDocument/2006/customXml" ds:itemID="{0F7884AC-96FC-403A-985E-3E812845D584}">
  <ds:schemaRefs/>
</ds:datastoreItem>
</file>

<file path=customXml/itemProps9.xml><?xml version="1.0" encoding="utf-8"?>
<ds:datastoreItem xmlns:ds="http://schemas.openxmlformats.org/officeDocument/2006/customXml" ds:itemID="{970B36BE-F22B-4EAE-B553-127C75267A25}">
  <ds:schemaRefs/>
</ds:datastoreItem>
</file>

<file path=customXml/itemProps10.xml><?xml version="1.0" encoding="utf-8"?>
<ds:datastoreItem xmlns:ds="http://schemas.openxmlformats.org/officeDocument/2006/customXml" ds:itemID="{191D9788-1685-457E-8C22-AE04DD92C3B4}">
  <ds:schemaRefs/>
</ds:datastoreItem>
</file>

<file path=customXml/itemProps11.xml><?xml version="1.0" encoding="utf-8"?>
<ds:datastoreItem xmlns:ds="http://schemas.openxmlformats.org/officeDocument/2006/customXml" ds:itemID="{5B01D856-4CB3-4346-BF50-6A82CBF012F4}">
  <ds:schemaRefs/>
</ds:datastoreItem>
</file>

<file path=customXml/itemProps12.xml><?xml version="1.0" encoding="utf-8"?>
<ds:datastoreItem xmlns:ds="http://schemas.openxmlformats.org/officeDocument/2006/customXml" ds:itemID="{444B58B8-02A6-4101-8DB9-566DCFE05059}">
  <ds:schemaRefs/>
</ds:datastoreItem>
</file>

<file path=customXml/itemProps13.xml><?xml version="1.0" encoding="utf-8"?>
<ds:datastoreItem xmlns:ds="http://schemas.openxmlformats.org/officeDocument/2006/customXml" ds:itemID="{99EC79FB-5EBB-4B0F-8C24-B4CAC5B511EF}">
  <ds:schemaRefs/>
</ds:datastoreItem>
</file>

<file path=customXml/itemProps14.xml><?xml version="1.0" encoding="utf-8"?>
<ds:datastoreItem xmlns:ds="http://schemas.openxmlformats.org/officeDocument/2006/customXml" ds:itemID="{4CF193D3-55DA-49A6-ACC9-0F2F3779BFEE}">
  <ds:schemaRefs/>
</ds:datastoreItem>
</file>

<file path=customXml/itemProps15.xml><?xml version="1.0" encoding="utf-8"?>
<ds:datastoreItem xmlns:ds="http://schemas.openxmlformats.org/officeDocument/2006/customXml" ds:itemID="{248A3809-0AA6-4D69-BD5A-E29F4ABDAA0D}">
  <ds:schemaRefs/>
</ds:datastoreItem>
</file>

<file path=customXml/itemProps16.xml><?xml version="1.0" encoding="utf-8"?>
<ds:datastoreItem xmlns:ds="http://schemas.openxmlformats.org/officeDocument/2006/customXml" ds:itemID="{9917E127-06D1-436E-9685-4065507B9E6C}">
  <ds:schemaRefs/>
</ds:datastoreItem>
</file>

<file path=customXml/itemProps17.xml><?xml version="1.0" encoding="utf-8"?>
<ds:datastoreItem xmlns:ds="http://schemas.openxmlformats.org/officeDocument/2006/customXml" ds:itemID="{8B96DC8D-E151-4B18-BC6C-640A8C57FE55}">
  <ds:schemaRefs/>
</ds:datastoreItem>
</file>

<file path=customXml/itemProps18.xml><?xml version="1.0" encoding="utf-8"?>
<ds:datastoreItem xmlns:ds="http://schemas.openxmlformats.org/officeDocument/2006/customXml" ds:itemID="{855CFB74-9856-45D9-B292-1E5C2A25A637}">
  <ds:schemaRefs/>
</ds:datastoreItem>
</file>

<file path=customXml/itemProps19.xml><?xml version="1.0" encoding="utf-8"?>
<ds:datastoreItem xmlns:ds="http://schemas.openxmlformats.org/officeDocument/2006/customXml" ds:itemID="{41C71656-BCF9-4F6D-8A71-61887C220911}">
  <ds:schemaRefs/>
</ds:datastoreItem>
</file>

<file path=customXml/itemProps20.xml><?xml version="1.0" encoding="utf-8"?>
<ds:datastoreItem xmlns:ds="http://schemas.openxmlformats.org/officeDocument/2006/customXml" ds:itemID="{BB1D6E92-EE3C-445C-AD19-0936465414F0}">
  <ds:schemaRefs/>
</ds:datastoreItem>
</file>

<file path=customXml/itemProps21.xml><?xml version="1.0" encoding="utf-8"?>
<ds:datastoreItem xmlns:ds="http://schemas.openxmlformats.org/officeDocument/2006/customXml" ds:itemID="{4D00CE54-9D96-45F3-8DD0-83C6EDB9DF3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JOB LIST - SST</vt:lpstr>
      <vt:lpstr>CIP-REOCC</vt:lpstr>
      <vt:lpstr>LABS</vt:lpstr>
      <vt:lpstr>PAYROLL</vt:lpstr>
      <vt:lpstr>LAB PRICES</vt:lpstr>
      <vt:lpstr>PROJECT LOG</vt:lpstr>
      <vt:lpstr>ALLAB INOVICES</vt:lpstr>
      <vt:lpstr>LTS INVOICES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Office</dc:creator>
  <cp:lastModifiedBy>SAI Office</cp:lastModifiedBy>
  <dcterms:created xsi:type="dcterms:W3CDTF">2025-04-15T13:08:53Z</dcterms:created>
  <dcterms:modified xsi:type="dcterms:W3CDTF">2025-12-29T18:42:05Z</dcterms:modified>
</cp:coreProperties>
</file>